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xmlns:r="http://schemas.openxmlformats.org/officeDocument/2006/relationships" name="RBEU Catalog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_(&quot;$&quot;* #,##0.00_);_(&quot;$&quot;* \(#,##0.00\);_(&quot;$&quot;* &quot;-&quot;??_);_(@_)"/>
  </numFmts>
  <fonts count="10">
    <font>
      <name val="Calibri"/>
      <charset val="1"/>
      <family val="2"/>
      <color theme="1"/>
      <sz val="11"/>
    </font>
    <font>
      <name val="Arial"/>
      <sz val="10"/>
    </font>
    <font>
      <name val="Cambria"/>
      <charset val="1"/>
      <b val="1"/>
      <sz val="14"/>
    </font>
    <font>
      <name val="Cambria"/>
      <charset val="1"/>
      <b val="1"/>
      <sz val="11"/>
    </font>
    <font>
      <name val="Calibri"/>
      <charset val="1"/>
      <family val="2"/>
      <sz val="11"/>
    </font>
    <font>
      <name val="Cambria"/>
      <charset val="1"/>
      <i val="1"/>
      <sz val="9"/>
    </font>
    <font>
      <name val="Cambria"/>
      <charset val="1"/>
      <b val="1"/>
      <sz val="9"/>
    </font>
    <font>
      <name val="Calibri"/>
      <sz val="11"/>
    </font>
    <font>
      <name val="Calibri"/>
      <family val="2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2" fontId="8" fillId="0" borderId="0" pivotButton="0" quotePrefix="0" xfId="0"/>
    <xf numFmtId="165" fontId="1" fillId="0" borderId="0" pivotButton="0" quotePrefix="0" xfId="1"/>
    <xf numFmtId="0" fontId="8" fillId="0" borderId="0" applyAlignment="1" pivotButton="0" quotePrefix="0" xfId="0">
      <alignment horizontal="right" vertical="center"/>
    </xf>
    <xf numFmtId="165" fontId="1" fillId="0" borderId="0" pivotButton="0" quotePrefix="0" xfId="1"/>
    <xf numFmtId="0" fontId="9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vertical="center"/>
    </xf>
    <xf numFmtId="2" fontId="9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10"/>
  <sheetViews>
    <sheetView tabSelected="1" zoomScaleNormal="100" workbookViewId="0">
      <selection activeCell="F76" sqref="F76"/>
    </sheetView>
  </sheetViews>
  <sheetFormatPr baseColWidth="8" defaultColWidth="8.6640625" defaultRowHeight="14.4"/>
  <cols>
    <col width="6" customWidth="1" min="2" max="2"/>
    <col width="48" customWidth="1" min="3" max="3"/>
    <col width="8" customWidth="1" min="4" max="4"/>
    <col width="8.88671875" bestFit="1" customWidth="1" min="5" max="5"/>
    <col width="8" customWidth="1" min="6" max="6"/>
    <col width="6" customWidth="1" min="7" max="7"/>
    <col width="8" customWidth="1" min="8" max="8"/>
    <col width="60" customWidth="1" min="9" max="9"/>
    <col width="10" customWidth="1" min="10" max="10"/>
    <col width="12" customWidth="1" min="11" max="12"/>
    <col width="25.33203125" customWidth="1" min="13" max="13"/>
    <col width="16" customWidth="1" min="14" max="14"/>
  </cols>
  <sheetData>
    <row r="1" ht="17.25" customHeight="1">
      <c r="B1" s="1" t="inlineStr">
        <is>
          <t>🏆 Updated xRBEU Leaderboard (Sorted by xRBEU)</t>
        </is>
      </c>
    </row>
    <row r="2" ht="15" customHeight="1">
      <c r="K2" s="2" t="n"/>
      <c r="N2" t="inlineStr">
        <is>
          <t>xRBEU Rankings</t>
        </is>
      </c>
    </row>
    <row r="3" ht="15" customHeight="1"/>
    <row r="4" ht="15" customHeight="1">
      <c r="B4" s="2" t="inlineStr">
        <is>
          <t>Rank</t>
        </is>
      </c>
      <c r="C4" s="2" t="inlineStr">
        <is>
          <t>Whiskey</t>
        </is>
      </c>
      <c r="D4" s="2" t="inlineStr">
        <is>
          <t>Rating</t>
        </is>
      </c>
      <c r="E4" s="2" t="inlineStr">
        <is>
          <t>Price</t>
        </is>
      </c>
      <c r="F4" s="2" t="inlineStr">
        <is>
          <t>xRBEU</t>
        </is>
      </c>
      <c r="G4" s="2" t="inlineStr">
        <is>
          <t>Tier</t>
        </is>
      </c>
      <c r="H4" s="2" t="inlineStr">
        <is>
          <t>BBB</t>
        </is>
      </c>
      <c r="I4" s="2" t="inlineStr">
        <is>
          <t>Notes</t>
        </is>
      </c>
      <c r="J4" s="2" t="inlineStr">
        <is>
          <t>Mkt Price</t>
        </is>
      </c>
      <c r="K4" s="2" t="inlineStr">
        <is>
          <t>Street xRBEU</t>
        </is>
      </c>
      <c r="L4" s="2" t="inlineStr">
        <is>
          <t>Street Tier</t>
        </is>
      </c>
      <c r="N4" t="inlineStr">
        <is>
          <t>S: ≥ 1.75</t>
        </is>
      </c>
    </row>
    <row r="5" ht="15" customHeight="1">
      <c r="B5" t="n">
        <v>1</v>
      </c>
      <c r="C5" t="inlineStr">
        <is>
          <t>Fighting Cock Bourbon 103 Proof</t>
        </is>
      </c>
      <c r="D5" t="n">
        <v>6.7</v>
      </c>
      <c r="E5" s="13" t="n">
        <v>21</v>
      </c>
      <c r="F5" s="17">
        <f>($E$30*EXP((LN(250.0/$E$30)/(10.0-$D$30))*(D5-$D$30)))/E5</f>
        <v/>
      </c>
      <c r="G5">
        <f>IF(F5="","",IF(F5&gt;=1.75,"S",IF(F5&gt;=1,"A",IF(F5&gt;=0.85,"B",IF(F5&gt;=0.65,"C",IF(F5&gt;=0.5,"D","F"))))))</f>
        <v/>
      </c>
      <c r="H5" t="inlineStr">
        <is>
          <t>Bottle</t>
        </is>
      </c>
      <c r="I5" t="inlineStr">
        <is>
          <t>"Working Class Hero" — John Lennon</t>
        </is>
      </c>
      <c r="J5" s="13" t="n">
        <v>21</v>
      </c>
      <c r="K5">
        <f>EXP($N$12*(D5-D$30))*E$30/J5</f>
        <v/>
      </c>
      <c r="L5">
        <f>IF(K5="","",IF(K5&gt;=1.75,"S",IF(K5&gt;=1,"A",IF(K5&gt;=0.85,"B",IF(K5&gt;=0.65,"C",IF(K5&gt;=0.5,"D","F"))))))</f>
        <v/>
      </c>
      <c r="N5" t="inlineStr">
        <is>
          <t>A: 1.00–1.74</t>
        </is>
      </c>
    </row>
    <row r="6" ht="15" customHeight="1">
      <c r="B6">
        <f>B5+1</f>
        <v/>
      </c>
      <c r="C6" t="inlineStr">
        <is>
          <t>Uncle Nearest 1884 Small Batch</t>
        </is>
      </c>
      <c r="D6" s="7" t="n">
        <v>6.3</v>
      </c>
      <c r="E6" s="13" t="n">
        <v>30</v>
      </c>
      <c r="F6" s="17">
        <f>($E$30*EXP((LN(250.0/$E$30)/(10.0-$D$30))*(D6-$D$30)))/E6</f>
        <v/>
      </c>
      <c r="G6">
        <f>IF(F6="","",IF(F6&gt;=1.75,"S",IF(F6&gt;=1,"A",IF(F6&gt;=0.85,"B",IF(F6&gt;=0.65,"C",IF(F6&gt;=0.5,"D","F"))))))</f>
        <v/>
      </c>
      <c r="H6" s="8" t="inlineStr">
        <is>
          <t>Bar</t>
        </is>
      </c>
      <c r="I6" t="inlineStr">
        <is>
          <t>"Tennessee Whiskey" — Chris Stapleton</t>
        </is>
      </c>
      <c r="J6" s="13" t="n">
        <v>30</v>
      </c>
      <c r="K6">
        <f>EXP($N$12*(D6-D$30))*E$30/J6</f>
        <v/>
      </c>
      <c r="L6">
        <f>IF(K6="","",IF(K6&gt;=1.75,"S",IF(K6&gt;=1,"A",IF(K6&gt;=0.85,"B",IF(K6&gt;=0.65,"C",IF(K6&gt;=0.5,"D","F"))))))</f>
        <v/>
      </c>
      <c r="N6" t="inlineStr">
        <is>
          <t>B: 0.85–0.99</t>
        </is>
      </c>
    </row>
    <row r="7" ht="15" customHeight="1">
      <c r="B7">
        <f>B6+1</f>
        <v/>
      </c>
      <c r="C7" t="inlineStr">
        <is>
          <t xml:space="preserve">Jim Beam Black 7 Year Straight Bourbon </t>
        </is>
      </c>
      <c r="D7" t="n">
        <v>6</v>
      </c>
      <c r="E7" s="13" t="n">
        <v>27</v>
      </c>
      <c r="F7" s="17">
        <f>($E$30*EXP((LN(250.0/$E$30)/(10.0-$D$30))*(D7-$D$30)))/E7</f>
        <v/>
      </c>
      <c r="G7">
        <f>IF(F7="","",IF(F7&gt;=1.75,"S",IF(F7&gt;=1,"A",IF(F7&gt;=0.85,"B",IF(F7&gt;=0.65,"C",IF(F7&gt;=0.5,"D","F"))))))</f>
        <v/>
      </c>
      <c r="H7" t="inlineStr">
        <is>
          <t>Bar</t>
        </is>
      </c>
      <c r="I7" t="inlineStr">
        <is>
          <t>"Long Train Runnin'" — The Doobie Brothers</t>
        </is>
      </c>
      <c r="J7" s="13" t="n">
        <v>27</v>
      </c>
      <c r="K7">
        <f>EXP($N$12*(D7-D$30))*E$30/J7</f>
        <v/>
      </c>
      <c r="L7">
        <f>IF(K7="","",IF(K7&gt;=1.75,"S",IF(K7&gt;=1,"A",IF(K7&gt;=0.85,"B",IF(K7&gt;=0.65,"C",IF(K7&gt;=0.5,"D","F"))))))</f>
        <v/>
      </c>
      <c r="N7" t="inlineStr">
        <is>
          <t>C: 0.70–0.84</t>
        </is>
      </c>
    </row>
    <row r="8" ht="15" customHeight="1">
      <c r="B8">
        <f>B7+1</f>
        <v/>
      </c>
      <c r="C8" t="inlineStr">
        <is>
          <t>Naked Malt</t>
        </is>
      </c>
      <c r="D8" t="n">
        <v>6.5</v>
      </c>
      <c r="E8" s="13" t="n">
        <v>29.99</v>
      </c>
      <c r="F8" s="17">
        <f>($E$30*EXP((LN(250.0/$E$30)/(10.0-$D$30))*(D8-$D$30)))/E8</f>
        <v/>
      </c>
      <c r="G8">
        <f>IF(F8="","",IF(F8&gt;=1.75,"S",IF(F8&gt;=1,"A",IF(F8&gt;=0.85,"B",IF(F8&gt;=0.65,"C",IF(F8&gt;=0.5,"D","F"))))))</f>
        <v/>
      </c>
      <c r="H8" t="inlineStr">
        <is>
          <t>Bar</t>
        </is>
      </c>
      <c r="I8" t="inlineStr">
        <is>
          <t>"Here Comes the Sun" — The Beatles</t>
        </is>
      </c>
      <c r="J8" s="13" t="n">
        <v>29.99</v>
      </c>
      <c r="K8">
        <f>EXP($N$12*(D8-D$30))*E$30/J8</f>
        <v/>
      </c>
      <c r="L8">
        <f>IF(K8="","",IF(K8&gt;=1.75,"S",IF(K8&gt;=1,"A",IF(K8&gt;=0.85,"B",IF(K8&gt;=0.65,"C",IF(K8&gt;=0.5,"D","F"))))))</f>
        <v/>
      </c>
      <c r="N8" t="inlineStr">
        <is>
          <t>D: 0.50–0.69</t>
        </is>
      </c>
    </row>
    <row r="9" ht="15" customHeight="1">
      <c r="B9">
        <f>B8+1</f>
        <v/>
      </c>
      <c r="C9" t="inlineStr">
        <is>
          <t>Natterjack Irish Whiskey</t>
        </is>
      </c>
      <c r="D9" t="n">
        <v>8.5</v>
      </c>
      <c r="E9" s="13" t="n">
        <v>40</v>
      </c>
      <c r="F9" s="17">
        <f>($E$30*EXP((LN(250.0/$E$30)/(10.0-$D$30))*(D9-$D$30)))/E9</f>
        <v/>
      </c>
      <c r="G9">
        <f>IF(F9="","",IF(F9&gt;=1.75,"S",IF(F9&gt;=1,"A",IF(F9&gt;=0.85,"B",IF(F9&gt;=0.65,"C",IF(F9&gt;=0.5,"D","F"))))))</f>
        <v/>
      </c>
      <c r="H9" t="inlineStr">
        <is>
          <t>Bottle</t>
        </is>
      </c>
      <c r="I9" t="inlineStr">
        <is>
          <t>"The Parting Glass" — The Dubliners</t>
        </is>
      </c>
      <c r="J9" s="13" t="n">
        <v>40</v>
      </c>
      <c r="K9">
        <f>EXP($N$12*(D9-D$30))*E$30/J9</f>
        <v/>
      </c>
      <c r="L9">
        <f>IF(K9="","",IF(K9&gt;=1.75,"S",IF(K9&gt;=1,"A",IF(K9&gt;=0.85,"B",IF(K9&gt;=0.65,"C",IF(K9&gt;=0.5,"D","F"))))))</f>
        <v/>
      </c>
      <c r="N9" s="3" t="inlineStr">
        <is>
          <t>F: &lt; 0.50</t>
        </is>
      </c>
    </row>
    <row r="10" ht="15" customHeight="1">
      <c r="B10">
        <f>B9+1</f>
        <v/>
      </c>
      <c r="C10" t="inlineStr">
        <is>
          <t xml:space="preserve">Knob Creek Small Batch 9 Year </t>
        </is>
      </c>
      <c r="D10" t="n">
        <v>7</v>
      </c>
      <c r="E10" s="13" t="n">
        <v>45</v>
      </c>
      <c r="F10" s="17">
        <f>($E$30*EXP((LN(250.0/$E$30)/(10.0-$D$30))*(D10-$D$30)))/E10</f>
        <v/>
      </c>
      <c r="G10">
        <f>IF(F10="","",IF(F10&gt;=1.75,"S",IF(F10&gt;=1,"A",IF(F10&gt;=0.85,"B",IF(F10&gt;=0.65,"C",IF(F10&gt;=0.5,"D","F"))))))</f>
        <v/>
      </c>
      <c r="H10" t="inlineStr">
        <is>
          <t>Bottle</t>
        </is>
      </c>
      <c r="I10" t="inlineStr">
        <is>
          <t>"Simple Man" — Lynyrd Skynyrd</t>
        </is>
      </c>
      <c r="J10" s="13" t="n">
        <v>45</v>
      </c>
      <c r="K10">
        <f>EXP($N$12*(D10-D$30))*E$30/J10</f>
        <v/>
      </c>
      <c r="L10">
        <f>IF(K10="","",IF(K10&gt;=1.75,"S",IF(K10&gt;=1,"A",IF(K10&gt;=0.85,"B",IF(K10&gt;=0.65,"C",IF(K10&gt;=0.5,"D","F"))))))</f>
        <v/>
      </c>
      <c r="N10" s="4" t="n"/>
    </row>
    <row r="11" ht="15" customHeight="1">
      <c r="B11">
        <f>B10+1</f>
        <v/>
      </c>
      <c r="C11" t="inlineStr">
        <is>
          <t>Glendalough Pot Still Irish Whisky</t>
        </is>
      </c>
      <c r="D11" t="n">
        <v>7</v>
      </c>
      <c r="E11" s="13" t="n">
        <v>38</v>
      </c>
      <c r="F11" s="17">
        <f>($E$30*EXP((LN(250.0/$E$30)/(10.0-$D$30))*(D11-$D$30)))/E11</f>
        <v/>
      </c>
      <c r="G11">
        <f>IF(F11="","",IF(F11&gt;=1.75,"S",IF(F11&gt;=1,"A",IF(F11&gt;=0.85,"B",IF(F11&gt;=0.65,"C",IF(F11&gt;=0.5,"D","F"))))))</f>
        <v/>
      </c>
      <c r="H11" t="inlineStr">
        <is>
          <t>Bottle</t>
        </is>
      </c>
      <c r="I11" t="inlineStr">
        <is>
          <t>"Boys Are Back in Town" — Thin Lizzy</t>
        </is>
      </c>
      <c r="J11" s="13" t="n">
        <v>38</v>
      </c>
      <c r="K11">
        <f>EXP($N$12*(D11-D$30))*E$30/J11</f>
        <v/>
      </c>
      <c r="L11">
        <f>IF(K11="","",IF(K11&gt;=1.75,"S",IF(K11&gt;=1,"A",IF(K11&gt;=0.85,"B",IF(K11&gt;=0.65,"C",IF(K11&gt;=0.5,"D","F"))))))</f>
        <v/>
      </c>
      <c r="M11" s="4" t="inlineStr">
        <is>
          <t>Anchor ($) for Rating 10.0:</t>
        </is>
      </c>
      <c r="N11" s="5" t="n">
        <v>130</v>
      </c>
    </row>
    <row r="12" ht="15" customHeight="1">
      <c r="B12">
        <f>B11+1</f>
        <v/>
      </c>
      <c r="C12" t="inlineStr">
        <is>
          <t>Wyoming Whiskey Small Batch Bourbon</t>
        </is>
      </c>
      <c r="D12" t="n">
        <v>6.4</v>
      </c>
      <c r="E12" s="13" t="n">
        <v>38</v>
      </c>
      <c r="F12" s="17">
        <f>($E$30*EXP((LN(250.0/$E$30)/(10.0-$D$30))*(D12-$D$30)))/E12</f>
        <v/>
      </c>
      <c r="G12">
        <f>IF(F12="","",IF(F12&gt;=1.75,"S",IF(F12&gt;=1,"A",IF(F12&gt;=0.85,"B",IF(F12&gt;=0.65,"C",IF(F12&gt;=0.5,"D","F"))))))</f>
        <v/>
      </c>
      <c r="H12" t="inlineStr">
        <is>
          <t>Bar</t>
        </is>
      </c>
      <c r="I12" t="inlineStr">
        <is>
          <t>"Take Me Home, Country Roads" — John Denver</t>
        </is>
      </c>
      <c r="J12" s="13" t="n">
        <v>38</v>
      </c>
      <c r="K12">
        <f>EXP($N$12*(D12-D$30))*E$30/J12</f>
        <v/>
      </c>
      <c r="L12">
        <f>IF(K12="","",IF(K12&gt;=1.75,"S",IF(K12&gt;=1,"A",IF(K12&gt;=0.85,"B",IF(K12&gt;=0.65,"C",IF(K12&gt;=0.5,"D","F"))))))</f>
        <v/>
      </c>
      <c r="M12" s="4" t="inlineStr">
        <is>
          <t>xRBEU Exp Constant (B):</t>
        </is>
      </c>
      <c r="N12" s="5">
        <f>LN(N11/E$30)/(10-D$30)</f>
        <v/>
      </c>
    </row>
    <row r="13" ht="15" customHeight="1">
      <c r="B13">
        <f>B12+1</f>
        <v/>
      </c>
      <c r="C13" t="inlineStr">
        <is>
          <t>Barton 1792 Single Barrel</t>
        </is>
      </c>
      <c r="D13" t="n">
        <v>6.6</v>
      </c>
      <c r="E13" s="13" t="n">
        <v>40</v>
      </c>
      <c r="F13" s="17">
        <f>($E$30*EXP((LN(250.0/$E$30)/(10.0-$D$30))*(D13-$D$30)))/E13</f>
        <v/>
      </c>
      <c r="G13">
        <f>IF(F13="","",IF(F13&gt;=1.75,"S",IF(F13&gt;=1,"A",IF(F13&gt;=0.85,"B",IF(F13&gt;=0.65,"C",IF(F13&gt;=0.5,"D","F"))))))</f>
        <v/>
      </c>
      <c r="H13" t="inlineStr">
        <is>
          <t>Bar</t>
        </is>
      </c>
      <c r="I13" t="inlineStr">
        <is>
          <t>"Sharp Dressed Man" — ZZ Top</t>
        </is>
      </c>
      <c r="J13" s="13" t="n">
        <v>40</v>
      </c>
      <c r="K13">
        <f>EXP($N$12*(D13-D$30))*E$30/J13</f>
        <v/>
      </c>
      <c r="L13">
        <f>IF(K13="","",IF(K13&gt;=1.75,"S",IF(K13&gt;=1,"A",IF(K13&gt;=0.85,"B",IF(K13&gt;=0.65,"C",IF(K13&gt;=0.5,"D","F"))))))</f>
        <v/>
      </c>
    </row>
    <row r="14" ht="15" customHeight="1">
      <c r="B14">
        <f>B13+1</f>
        <v/>
      </c>
      <c r="C14" t="inlineStr">
        <is>
          <t>Akashi Japanese Blended Whiskey</t>
        </is>
      </c>
      <c r="D14" t="n">
        <v>8</v>
      </c>
      <c r="E14" s="13" t="n">
        <v>50</v>
      </c>
      <c r="F14" s="17">
        <f>($E$30*EXP((LN(250.0/$E$30)/(10.0-$D$30))*(D14-$D$30)))/E14</f>
        <v/>
      </c>
      <c r="G14">
        <f>IF(F14="","",IF(F14&gt;=1.75,"S",IF(F14&gt;=1,"A",IF(F14&gt;=0.85,"B",IF(F14&gt;=0.65,"C",IF(F14&gt;=0.5,"D","F"))))))</f>
        <v/>
      </c>
      <c r="H14" t="inlineStr">
        <is>
          <t>Bottle</t>
        </is>
      </c>
      <c r="I14" t="inlineStr">
        <is>
          <t>"Cherry Blossom Girl" — Air</t>
        </is>
      </c>
      <c r="J14" s="13" t="n">
        <v>50</v>
      </c>
      <c r="K14">
        <f>EXP($N$12*(D14-D$30))*E$30/J14</f>
        <v/>
      </c>
      <c r="L14">
        <f>IF(K14="","",IF(K14&gt;=1.75,"S",IF(K14&gt;=1,"A",IF(K14&gt;=0.85,"B",IF(K14&gt;=0.65,"C",IF(K14&gt;=0.5,"D","F"))))))</f>
        <v/>
      </c>
    </row>
    <row r="15" ht="15" customHeight="1">
      <c r="B15">
        <f>B14+1</f>
        <v/>
      </c>
      <c r="C15" t="inlineStr">
        <is>
          <t>The Guard Bridge Blended Malt Scotch</t>
        </is>
      </c>
      <c r="D15" t="n">
        <v>7</v>
      </c>
      <c r="E15" s="13" t="n">
        <v>44</v>
      </c>
      <c r="F15" s="17">
        <f>($E$30*EXP((LN(250.0/$E$30)/(10.0-$D$30))*(D15-$D$30)))/E15</f>
        <v/>
      </c>
      <c r="G15">
        <f>IF(F15="","",IF(F15&gt;=1.75,"S",IF(F15&gt;=1,"A",IF(F15&gt;=0.85,"B",IF(F15&gt;=0.65,"C",IF(F15&gt;=0.5,"D","F"))))))</f>
        <v/>
      </c>
      <c r="H15" t="inlineStr">
        <is>
          <t>Bottle</t>
        </is>
      </c>
      <c r="I15" t="inlineStr">
        <is>
          <t>"Waiting in Vain" — Bob Marley</t>
        </is>
      </c>
      <c r="J15" s="13" t="n">
        <v>44</v>
      </c>
      <c r="K15">
        <f>EXP($N$12*(D15-D$30))*E$30/J15</f>
        <v/>
      </c>
      <c r="L15">
        <f>IF(K15="","",IF(K15&gt;=1.75,"S",IF(K15&gt;=1,"A",IF(K15&gt;=0.85,"B",IF(K15&gt;=0.65,"C",IF(K15&gt;=0.5,"D","F"))))))</f>
        <v/>
      </c>
    </row>
    <row r="16" ht="15" customHeight="1">
      <c r="B16">
        <f>B15+1</f>
        <v/>
      </c>
      <c r="C16" t="inlineStr">
        <is>
          <t>Michter’s Small Batch American Whiskey</t>
        </is>
      </c>
      <c r="D16" t="n">
        <v>6.3</v>
      </c>
      <c r="E16" s="13" t="n">
        <v>39.99</v>
      </c>
      <c r="F16" s="17">
        <f>($E$30*EXP((LN(250.0/$E$30)/(10.0-$D$30))*(D16-$D$30)))/E16</f>
        <v/>
      </c>
      <c r="G16">
        <f>IF(F16="","",IF(F16&gt;=1.75,"S",IF(F16&gt;=1,"A",IF(F16&gt;=0.85,"B",IF(F16&gt;=0.65,"C",IF(F16&gt;=0.5,"D","F"))))))</f>
        <v/>
      </c>
      <c r="H16" t="inlineStr">
        <is>
          <t>Bar</t>
        </is>
      </c>
      <c r="I16" t="inlineStr">
        <is>
          <t>"Easy" — Commodores</t>
        </is>
      </c>
      <c r="J16" s="13" t="n">
        <v>39.99</v>
      </c>
      <c r="K16">
        <f>EXP($N$12*(D16-D$30))*E$30/J16</f>
        <v/>
      </c>
      <c r="L16">
        <f>IF(K16="","",IF(K16&gt;=1.75,"S",IF(K16&gt;=1,"A",IF(K16&gt;=0.85,"B",IF(K16&gt;=0.65,"C",IF(K16&gt;=0.5,"D","F"))))))</f>
        <v/>
      </c>
    </row>
    <row r="17" ht="15" customHeight="1">
      <c r="B17">
        <f>B16+1</f>
        <v/>
      </c>
      <c r="C17" t="inlineStr">
        <is>
          <t>Minor Case Rye</t>
        </is>
      </c>
      <c r="D17" t="n">
        <v>6</v>
      </c>
      <c r="E17" s="13" t="n">
        <v>40</v>
      </c>
      <c r="F17" s="17">
        <f>($E$30*EXP((LN(250.0/$E$30)/(10.0-$D$30))*(D17-$D$30)))/E17</f>
        <v/>
      </c>
      <c r="G17">
        <f>IF(F17="","",IF(F17&gt;=1.75,"S",IF(F17&gt;=1,"A",IF(F17&gt;=0.85,"B",IF(F17&gt;=0.65,"C",IF(F17&gt;=0.5,"D","F"))))))</f>
        <v/>
      </c>
      <c r="H17" t="inlineStr">
        <is>
          <t>Bar</t>
        </is>
      </c>
      <c r="I17" t="inlineStr">
        <is>
          <t>"Good Times Bad Times" — Led Zeppelin</t>
        </is>
      </c>
      <c r="J17" s="13" t="n">
        <v>40</v>
      </c>
      <c r="K17">
        <f>EXP($N$12*(D17-D$30))*E$30/J17</f>
        <v/>
      </c>
      <c r="L17">
        <f>IF(K17="","",IF(K17&gt;=1.75,"S",IF(K17&gt;=1,"A",IF(K17&gt;=0.85,"B",IF(K17&gt;=0.65,"C",IF(K17&gt;=0.5,"D","F"))))))</f>
        <v/>
      </c>
    </row>
    <row r="18" ht="15" customHeight="1">
      <c r="B18">
        <f>B17+1</f>
        <v/>
      </c>
      <c r="C18" t="inlineStr">
        <is>
          <t>Jim Beam Winter Reserve</t>
        </is>
      </c>
      <c r="D18" t="n">
        <v>4</v>
      </c>
      <c r="E18" s="13" t="n">
        <v>27</v>
      </c>
      <c r="F18" s="17">
        <f>($E$30*EXP((LN(250.0/$E$30)/(10.0-$D$30))*(D18-$D$30)))/E18</f>
        <v/>
      </c>
      <c r="G18">
        <f>IF(F18="","",IF(F18&gt;=1.75,"S",IF(F18&gt;=1,"A",IF(F18&gt;=0.85,"B",IF(F18&gt;=0.65,"C",IF(F18&gt;=0.5,"D","F"))))))</f>
        <v/>
      </c>
      <c r="H18" t="inlineStr">
        <is>
          <t>Bust</t>
        </is>
      </c>
      <c r="I18" t="inlineStr">
        <is>
          <t>"Comfortably Numb" — Pink Floyd</t>
        </is>
      </c>
      <c r="J18" s="13" t="n">
        <v>27</v>
      </c>
      <c r="K18">
        <f>EXP($N$12*(D18-D$30))*E$30/J18</f>
        <v/>
      </c>
      <c r="L18">
        <f>IF(K18="","",IF(K18&gt;=1.75,"S",IF(K18&gt;=1,"A",IF(K18&gt;=0.85,"B",IF(K18&gt;=0.65,"C",IF(K18&gt;=0.5,"D","F"))))))</f>
        <v/>
      </c>
    </row>
    <row r="19" ht="15" customHeight="1">
      <c r="B19">
        <f>B18+1</f>
        <v/>
      </c>
      <c r="C19" t="inlineStr">
        <is>
          <t>New Riff Malted Rye</t>
        </is>
      </c>
      <c r="D19" t="n">
        <v>8.800000000000001</v>
      </c>
      <c r="E19" s="13" t="n">
        <v>60</v>
      </c>
      <c r="F19" s="17">
        <f>($E$30*EXP((LN(250.0/$E$30)/(10.0-$D$30))*(D19-$D$30)))/E19</f>
        <v/>
      </c>
      <c r="G19">
        <f>IF(F19="","",IF(F19&gt;=1.75,"S",IF(F19&gt;=1,"A",IF(F19&gt;=0.85,"B",IF(F19&gt;=0.65,"C",IF(F19&gt;=0.5,"D","F"))))))</f>
        <v/>
      </c>
      <c r="H19" t="inlineStr">
        <is>
          <t>Bottle</t>
        </is>
      </c>
      <c r="I19" t="inlineStr">
        <is>
          <t>"Gold Dust Woman" — Fleetwood Mac</t>
        </is>
      </c>
      <c r="J19" s="13" t="n">
        <v>60</v>
      </c>
      <c r="K19">
        <f>EXP($N$12*(D19-D$30))*E$30/J19</f>
        <v/>
      </c>
      <c r="L19">
        <f>IF(K19="","",IF(K19&gt;=1.75,"S",IF(K19&gt;=1,"A",IF(K19&gt;=0.85,"B",IF(K19&gt;=0.65,"C",IF(K19&gt;=0.5,"D","F"))))))</f>
        <v/>
      </c>
    </row>
    <row r="20" ht="15" customHeight="1">
      <c r="B20">
        <f>B19+1</f>
        <v/>
      </c>
      <c r="C20" t="inlineStr">
        <is>
          <t>Templeton Rye 6 Year “The Good Stuff”</t>
        </is>
      </c>
      <c r="D20" t="n">
        <v>5</v>
      </c>
      <c r="E20" s="13" t="n">
        <v>35</v>
      </c>
      <c r="F20" s="17">
        <f>($E$30*EXP((LN(250.0/$E$30)/(10.0-$D$30))*(D20-$D$30)))/E20</f>
        <v/>
      </c>
      <c r="G20">
        <f>IF(F20="","",IF(F20&gt;=1.75,"S",IF(F20&gt;=1,"A",IF(F20&gt;=0.85,"B",IF(F20&gt;=0.65,"C",IF(F20&gt;=0.5,"D","F"))))))</f>
        <v/>
      </c>
      <c r="H20" t="inlineStr">
        <is>
          <t>Bar</t>
        </is>
      </c>
      <c r="I20" t="inlineStr">
        <is>
          <t>"Piano Man" — Billy Joel</t>
        </is>
      </c>
      <c r="J20" s="13" t="n">
        <v>35</v>
      </c>
      <c r="K20">
        <f>EXP($N$12*(D20-D$30))*E$30/J20</f>
        <v/>
      </c>
      <c r="L20">
        <f>IF(K20="","",IF(K20&gt;=1.75,"S",IF(K20&gt;=1,"A",IF(K20&gt;=0.85,"B",IF(K20&gt;=0.65,"C",IF(K20&gt;=0.5,"D","F"))))))</f>
        <v/>
      </c>
    </row>
    <row r="21" ht="15" customHeight="1">
      <c r="B21">
        <f>B20+1</f>
        <v/>
      </c>
      <c r="C21" t="inlineStr">
        <is>
          <t>Heaven’s Door Revelation Double Barrel</t>
        </is>
      </c>
      <c r="D21" t="n">
        <v>8.5</v>
      </c>
      <c r="E21" s="13" t="n">
        <v>60</v>
      </c>
      <c r="F21" s="17">
        <f>($E$30*EXP((LN(250.0/$E$30)/(10.0-$D$30))*(D21-$D$30)))/E21</f>
        <v/>
      </c>
      <c r="G21">
        <f>IF(F21="","",IF(F21&gt;=1.75,"S",IF(F21&gt;=1,"A",IF(F21&gt;=0.85,"B",IF(F21&gt;=0.65,"C",IF(F21&gt;=0.5,"D","F"))))))</f>
        <v/>
      </c>
      <c r="H21" t="inlineStr">
        <is>
          <t>Bottle</t>
        </is>
      </c>
      <c r="I21" t="inlineStr">
        <is>
          <t>"Third Planet" — Modest Mouse</t>
        </is>
      </c>
      <c r="J21" s="13" t="n">
        <v>60</v>
      </c>
      <c r="K21">
        <f>EXP($N$12*(D21-D$30))*E$30/J21</f>
        <v/>
      </c>
      <c r="L21">
        <f>IF(K21="","",IF(K21&gt;=1.75,"S",IF(K21&gt;=1,"A",IF(K21&gt;=0.85,"B",IF(K21&gt;=0.65,"C",IF(K21&gt;=0.5,"D","F"))))))</f>
        <v/>
      </c>
    </row>
    <row r="22" ht="15" customHeight="1">
      <c r="B22">
        <f>B21+1</f>
        <v/>
      </c>
      <c r="C22" t="inlineStr">
        <is>
          <t>Redbreast 12 Year Old Irish Whiskey</t>
        </is>
      </c>
      <c r="D22" t="n">
        <v>9</v>
      </c>
      <c r="E22" s="13" t="n">
        <v>65</v>
      </c>
      <c r="F22" s="17">
        <f>($E$30*EXP((LN(250.0/$E$30)/(10.0-$D$30))*(D22-$D$30)))/E22</f>
        <v/>
      </c>
      <c r="G22">
        <f>IF(F22="","",IF(F22&gt;=1.75,"S",IF(F22&gt;=1,"A",IF(F22&gt;=0.85,"B",IF(F22&gt;=0.65,"C",IF(F22&gt;=0.5,"D","F"))))))</f>
        <v/>
      </c>
      <c r="H22" t="inlineStr">
        <is>
          <t>Bottle</t>
        </is>
      </c>
      <c r="I22" t="inlineStr">
        <is>
          <t>"Blue In Green" — Miles Davis</t>
        </is>
      </c>
      <c r="J22" s="13" t="n">
        <v>65</v>
      </c>
      <c r="K22">
        <f>EXP($N$12*(D22-D$30))*E$30/J22</f>
        <v/>
      </c>
      <c r="L22">
        <f>IF(K22="","",IF(K22&gt;=1.75,"S",IF(K22&gt;=1,"A",IF(K22&gt;=0.85,"B",IF(K22&gt;=0.65,"C",IF(K22&gt;=0.5,"D","F"))))))</f>
        <v/>
      </c>
    </row>
    <row r="23" ht="15" customHeight="1">
      <c r="B23">
        <f>B22+1</f>
        <v/>
      </c>
      <c r="C23" t="inlineStr">
        <is>
          <t>Journeyman Distillery Featherbone Bourbon</t>
        </is>
      </c>
      <c r="D23" t="n">
        <v>6.6</v>
      </c>
      <c r="E23" s="13" t="n">
        <v>48</v>
      </c>
      <c r="F23" s="17">
        <f>($E$30*EXP((LN(250.0/$E$30)/(10.0-$D$30))*(D23-$D$30)))/E23</f>
        <v/>
      </c>
      <c r="G23">
        <f>IF(F23="","",IF(F23&gt;=1.75,"S",IF(F23&gt;=1,"A",IF(F23&gt;=0.85,"B",IF(F23&gt;=0.65,"C",IF(F23&gt;=0.5,"D","F"))))))</f>
        <v/>
      </c>
      <c r="H23" t="inlineStr">
        <is>
          <t>Bar</t>
        </is>
      </c>
      <c r="I23" t="inlineStr">
        <is>
          <t>"Fly Away" — Lenny Kravitz</t>
        </is>
      </c>
      <c r="J23" s="13" t="n">
        <v>48</v>
      </c>
      <c r="K23">
        <f>EXP($N$12*(D23-D$30))*E$30/J23</f>
        <v/>
      </c>
      <c r="L23">
        <f>IF(K23="","",IF(K23&gt;=1.75,"S",IF(K23&gt;=1,"A",IF(K23&gt;=0.85,"B",IF(K23&gt;=0.65,"C",IF(K23&gt;=0.5,"D","F"))))))</f>
        <v/>
      </c>
    </row>
    <row r="24" ht="15" customHeight="1">
      <c r="B24">
        <f>B23+1</f>
        <v/>
      </c>
      <c r="C24" t="inlineStr">
        <is>
          <t>Oregon Spirit BiB Wheat Whiskey</t>
        </is>
      </c>
      <c r="D24" t="n">
        <v>7.6</v>
      </c>
      <c r="E24" s="13" t="n">
        <v>54.99</v>
      </c>
      <c r="F24" s="17">
        <f>($E$30*EXP((LN(250.0/$E$30)/(10.0-$D$30))*(D24-$D$30)))/E24</f>
        <v/>
      </c>
      <c r="G24">
        <f>IF(F24="","",IF(F24&gt;=1.75,"S",IF(F24&gt;=1,"A",IF(F24&gt;=0.85,"B",IF(F24&gt;=0.65,"C",IF(F24&gt;=0.5,"D","F"))))))</f>
        <v/>
      </c>
      <c r="H24" t="inlineStr">
        <is>
          <t>Bar</t>
        </is>
      </c>
      <c r="I24" t="inlineStr">
        <is>
          <t>"Hunger Strike" — Temple of the Dog</t>
        </is>
      </c>
      <c r="J24" s="13" t="n">
        <v>54.99</v>
      </c>
      <c r="K24">
        <f>EXP($N$12*(D24-D$30))*E$30/J24</f>
        <v/>
      </c>
      <c r="L24">
        <f>IF(K24="","",IF(K24&gt;=1.75,"S",IF(K24&gt;=1,"A",IF(K24&gt;=0.85,"B",IF(K24&gt;=0.65,"C",IF(K24&gt;=0.5,"D","F"))))))</f>
        <v/>
      </c>
    </row>
    <row r="25" ht="15" customHeight="1">
      <c r="B25">
        <f>B24+1</f>
        <v/>
      </c>
      <c r="C25" t="inlineStr">
        <is>
          <t>Frey Ranch BiB Straight Rye Whiskey</t>
        </is>
      </c>
      <c r="D25" t="n">
        <v>8.6</v>
      </c>
      <c r="E25" s="13" t="n">
        <v>63</v>
      </c>
      <c r="F25" s="17">
        <f>($E$30*EXP((LN(250.0/$E$30)/(10.0-$D$30))*(D25-$D$30)))/E25</f>
        <v/>
      </c>
      <c r="G25">
        <f>IF(F25="","",IF(F25&gt;=1.75,"S",IF(F25&gt;=1,"A",IF(F25&gt;=0.85,"B",IF(F25&gt;=0.65,"C",IF(F25&gt;=0.5,"D","F"))))))</f>
        <v/>
      </c>
      <c r="H25" t="inlineStr">
        <is>
          <t>Bottle</t>
        </is>
      </c>
      <c r="I25" t="inlineStr">
        <is>
          <t>"American Girl" — Tom Petty</t>
        </is>
      </c>
      <c r="J25" s="13" t="n">
        <v>63</v>
      </c>
      <c r="K25">
        <f>EXP($N$12*(D25-D$30))*E$30/J25</f>
        <v/>
      </c>
      <c r="L25">
        <f>IF(K25="","",IF(K25&gt;=1.75,"S",IF(K25&gt;=1,"A",IF(K25&gt;=0.85,"B",IF(K25&gt;=0.65,"C",IF(K25&gt;=0.5,"D","F"))))))</f>
        <v/>
      </c>
    </row>
    <row r="26" ht="15" customHeight="1">
      <c r="B26">
        <f>B25+1</f>
        <v/>
      </c>
      <c r="C26" t="inlineStr">
        <is>
          <t>Oaklore Four Grain Bourbon</t>
        </is>
      </c>
      <c r="D26" t="n">
        <v>9.5</v>
      </c>
      <c r="E26" s="13" t="n">
        <v>70</v>
      </c>
      <c r="F26" s="17">
        <f>($E$30*EXP((LN(250.0/$E$30)/(10.0-$D$30))*(D26-$D$30)))/E26</f>
        <v/>
      </c>
      <c r="G26">
        <f>IF(F26="","",IF(F26&gt;=1.75,"S",IF(F26&gt;=1,"A",IF(F26&gt;=0.85,"B",IF(F26&gt;=0.65,"C",IF(F26&gt;=0.5,"D","F"))))))</f>
        <v/>
      </c>
      <c r="H26" t="inlineStr">
        <is>
          <t>Bottle</t>
        </is>
      </c>
      <c r="I26" t="inlineStr">
        <is>
          <t>"Bohemian Rhapsody" — Queen</t>
        </is>
      </c>
      <c r="J26" s="13" t="n">
        <v>70</v>
      </c>
      <c r="K26">
        <f>EXP($N$12*(D26-D$30))*E$30/J26</f>
        <v/>
      </c>
      <c r="L26">
        <f>IF(K26="","",IF(K26&gt;=1.75,"S",IF(K26&gt;=1,"A",IF(K26&gt;=0.85,"B",IF(K26&gt;=0.65,"C",IF(K26&gt;=0.5,"D","F"))))))</f>
        <v/>
      </c>
    </row>
    <row r="27" ht="15" customHeight="1">
      <c r="B27">
        <f>B26+1</f>
        <v/>
      </c>
      <c r="C27" t="inlineStr">
        <is>
          <t>Bhakta 1928 Golden Age Blend</t>
        </is>
      </c>
      <c r="D27" t="n">
        <v>8.6</v>
      </c>
      <c r="E27" s="13" t="n">
        <v>64</v>
      </c>
      <c r="F27" s="17">
        <f>($E$30*EXP((LN(250.0/$E$30)/(10.0-$D$30))*(D27-$D$30)))/E27</f>
        <v/>
      </c>
      <c r="G27">
        <f>IF(F27="","",IF(F27&gt;=1.75,"S",IF(F27&gt;=1,"A",IF(F27&gt;=0.85,"B",IF(F27&gt;=0.65,"C",IF(F27&gt;=0.5,"D","F"))))))</f>
        <v/>
      </c>
      <c r="H27" t="inlineStr">
        <is>
          <t>Bottle</t>
        </is>
      </c>
      <c r="I27" t="inlineStr">
        <is>
          <t>"La Vie en Rose" — Édith Piaf</t>
        </is>
      </c>
      <c r="J27" s="13" t="n">
        <v>64</v>
      </c>
      <c r="K27">
        <f>EXP($N$12*(D27-D$30))*E$30/J27</f>
        <v/>
      </c>
      <c r="L27">
        <f>IF(K27="","",IF(K27&gt;=1.75,"S",IF(K27&gt;=1,"A",IF(K27&gt;=0.85,"B",IF(K27&gt;=0.65,"C",IF(K27&gt;=0.5,"D","F"))))))</f>
        <v/>
      </c>
    </row>
    <row r="28" ht="15" customHeight="1">
      <c r="B28">
        <f>B27+1</f>
        <v/>
      </c>
      <c r="C28" t="inlineStr">
        <is>
          <t>Ironton Rye Malt Whiskey</t>
        </is>
      </c>
      <c r="D28" t="n">
        <v>6</v>
      </c>
      <c r="E28" s="13" t="n">
        <v>45</v>
      </c>
      <c r="F28" s="17">
        <f>($E$30*EXP((LN(250.0/$E$30)/(10.0-$D$30))*(D28-$D$30)))/E28</f>
        <v/>
      </c>
      <c r="G28">
        <f>IF(F28="","",IF(F28&gt;=1.75,"S",IF(F28&gt;=1,"A",IF(F28&gt;=0.85,"B",IF(F28&gt;=0.65,"C",IF(F28&gt;=0.5,"D","F"))))))</f>
        <v/>
      </c>
      <c r="H28" t="inlineStr">
        <is>
          <t>Bar</t>
        </is>
      </c>
      <c r="I28" t="inlineStr">
        <is>
          <t>"Between the Bars" — Elliott Smith</t>
        </is>
      </c>
      <c r="J28" s="13" t="n">
        <v>45</v>
      </c>
      <c r="K28">
        <f>EXP($N$12*(D28-D$30))*E$30/J28</f>
        <v/>
      </c>
      <c r="L28">
        <f>IF(K28="","",IF(K28&gt;=1.75,"S",IF(K28&gt;=1,"A",IF(K28&gt;=0.85,"B",IF(K28&gt;=0.65,"C",IF(K28&gt;=0.5,"D","F"))))))</f>
        <v/>
      </c>
    </row>
    <row r="29" ht="15" customHeight="1">
      <c r="B29">
        <f>B28+1</f>
        <v/>
      </c>
      <c r="C29" t="inlineStr">
        <is>
          <t>Heaven Hill 7 Year BiB Barrel Select</t>
        </is>
      </c>
      <c r="D29" t="n">
        <v>7.3</v>
      </c>
      <c r="E29" s="13" t="n">
        <v>54.95</v>
      </c>
      <c r="F29" s="17">
        <f>($E$30*EXP((LN(250.0/$E$30)/(10.0-$D$30))*(D29-$D$30)))/E29</f>
        <v/>
      </c>
      <c r="G29">
        <f>IF(F29="","",IF(F29&gt;=1.75,"S",IF(F29&gt;=1,"A",IF(F29&gt;=0.85,"B",IF(F29&gt;=0.65,"C",IF(F29&gt;=0.5,"D","F"))))))</f>
        <v/>
      </c>
      <c r="H29" t="inlineStr">
        <is>
          <t>Bottle</t>
        </is>
      </c>
      <c r="I29" t="inlineStr">
        <is>
          <t>"Old Time Rock and Roll" — Bob Seger</t>
        </is>
      </c>
      <c r="J29" s="13" t="n">
        <v>54.95</v>
      </c>
      <c r="K29">
        <f>EXP($N$12*(D29-D$30))*E$30/J29</f>
        <v/>
      </c>
      <c r="L29">
        <f>IF(K29="","",IF(K29&gt;=1.75,"S",IF(K29&gt;=1,"A",IF(K29&gt;=0.85,"B",IF(K29&gt;=0.65,"C",IF(K29&gt;=0.5,"D","F"))))))</f>
        <v/>
      </c>
    </row>
    <row r="30" ht="15" customHeight="1">
      <c r="B30">
        <f>B29+1</f>
        <v/>
      </c>
      <c r="C30" t="inlineStr">
        <is>
          <t>Wild Turkey Rare Breed</t>
        </is>
      </c>
      <c r="D30" t="n">
        <v>7.3</v>
      </c>
      <c r="E30" s="13" t="n">
        <v>49.99</v>
      </c>
      <c r="F30" s="17">
        <f>($E$30*EXP((LN(250.0/$E$30)/(10.0-$D$30))*(D30-$D$30)))/E30</f>
        <v/>
      </c>
      <c r="G30">
        <f>IF(F30="","",IF(F30&gt;=1.75,"S",IF(F30&gt;=1,"A",IF(F30&gt;=0.85,"B",IF(F30&gt;=0.65,"C",IF(F30&gt;=0.5,"D","F"))))))</f>
        <v/>
      </c>
      <c r="H30" t="inlineStr">
        <is>
          <t>Bottle</t>
        </is>
      </c>
      <c r="I30" t="inlineStr">
        <is>
          <t>"Born to Run" — Bruce Springsteen</t>
        </is>
      </c>
      <c r="J30" s="13" t="n">
        <v>49.99</v>
      </c>
      <c r="K30">
        <f>EXP($N$12*(D30-D$30))*E$30/J30</f>
        <v/>
      </c>
      <c r="L30">
        <f>IF(K30="","",IF(K30&gt;=1.75,"S",IF(K30&gt;=1,"A",IF(K30&gt;=0.85,"B",IF(K30&gt;=0.65,"C",IF(K30&gt;=0.5,"D","F"))))))</f>
        <v/>
      </c>
    </row>
    <row r="31" ht="15" customHeight="1">
      <c r="B31">
        <f>B30+1</f>
        <v/>
      </c>
      <c r="C31" t="inlineStr">
        <is>
          <t>Famous Grouse Smokey Black Blended Scotch</t>
        </is>
      </c>
      <c r="D31" t="n">
        <v>6.3</v>
      </c>
      <c r="E31" s="13" t="n">
        <v>48</v>
      </c>
      <c r="F31" s="17">
        <f>($E$30*EXP((LN(250.0/$E$30)/(10.0-$D$30))*(D31-$D$30)))/E31</f>
        <v/>
      </c>
      <c r="G31">
        <f>IF(F31="","",IF(F31&gt;=1.75,"S",IF(F31&gt;=1,"A",IF(F31&gt;=0.85,"B",IF(F31&gt;=0.65,"C",IF(F31&gt;=0.5,"D","F"))))))</f>
        <v/>
      </c>
      <c r="H31" t="inlineStr">
        <is>
          <t>Bar</t>
        </is>
      </c>
      <c r="I31" t="inlineStr">
        <is>
          <t>"Smoke on the Water" — Deep Purple</t>
        </is>
      </c>
      <c r="J31" s="13" t="n">
        <v>48</v>
      </c>
      <c r="K31">
        <f>EXP($N$12*(D31-D$30))*E$30/J31</f>
        <v/>
      </c>
      <c r="L31">
        <f>IF(K31="","",IF(K31&gt;=1.75,"S",IF(K31&gt;=1,"A",IF(K31&gt;=0.85,"B",IF(K31&gt;=0.65,"C",IF(K31&gt;=0.5,"D","F"))))))</f>
        <v/>
      </c>
    </row>
    <row r="32" ht="15" customHeight="1">
      <c r="B32">
        <f>B31+1</f>
        <v/>
      </c>
      <c r="C32" t="inlineStr">
        <is>
          <t>Lodestar American Whiskey</t>
        </is>
      </c>
      <c r="D32" t="n">
        <v>8.5</v>
      </c>
      <c r="E32" s="13" t="n">
        <v>65</v>
      </c>
      <c r="F32" s="17">
        <f>($E$30*EXP((LN(250.0/$E$30)/(10.0-$D$30))*(D32-$D$30)))/E32</f>
        <v/>
      </c>
      <c r="G32">
        <f>IF(F32="","",IF(F32&gt;=1.75,"S",IF(F32&gt;=1,"A",IF(F32&gt;=0.85,"B",IF(F32&gt;=0.65,"C",IF(F32&gt;=0.5,"D","F"))))))</f>
        <v/>
      </c>
      <c r="H32" t="inlineStr">
        <is>
          <t>Bottle</t>
        </is>
      </c>
      <c r="I32" t="inlineStr">
        <is>
          <t>"Red Right Ankle" — The Decemberists</t>
        </is>
      </c>
      <c r="J32" s="13" t="n">
        <v>65</v>
      </c>
      <c r="K32">
        <f>EXP($N$12*(D32-D$30))*E$30/J32</f>
        <v/>
      </c>
      <c r="L32">
        <f>IF(K32="","",IF(K32&gt;=1.75,"S",IF(K32&gt;=1,"A",IF(K32&gt;=0.85,"B",IF(K32&gt;=0.65,"C",IF(K32&gt;=0.5,"D","F"))))))</f>
        <v/>
      </c>
    </row>
    <row r="33" ht="15" customHeight="1">
      <c r="B33">
        <f>B32+1</f>
        <v/>
      </c>
      <c r="C33" t="inlineStr">
        <is>
          <t>Glengoyne 10 Year Single Malt Scotch</t>
        </is>
      </c>
      <c r="D33" t="n">
        <v>6.4</v>
      </c>
      <c r="E33" s="13" t="n">
        <v>49.99</v>
      </c>
      <c r="F33" s="17">
        <f>($E$30*EXP((LN(250.0/$E$30)/(10.0-$D$30))*(D33-$D$30)))/E33</f>
        <v/>
      </c>
      <c r="G33">
        <f>IF(F33="","",IF(F33&gt;=1.75,"S",IF(F33&gt;=1,"A",IF(F33&gt;=0.85,"B",IF(F33&gt;=0.65,"C",IF(F33&gt;=0.5,"D","F"))))))</f>
        <v/>
      </c>
      <c r="H33" t="inlineStr">
        <is>
          <t>Bar</t>
        </is>
      </c>
      <c r="I33" t="inlineStr">
        <is>
          <t>"Caledonia" — Dougie MacLean</t>
        </is>
      </c>
      <c r="J33" s="13" t="n">
        <v>49.99</v>
      </c>
      <c r="K33">
        <f>EXP($N$12*(D33-D$30))*E$30/J33</f>
        <v/>
      </c>
      <c r="L33">
        <f>IF(K33="","",IF(K33&gt;=1.75,"S",IF(K33&gt;=1,"A",IF(K33&gt;=0.85,"B",IF(K33&gt;=0.65,"C",IF(K33&gt;=0.5,"D","F"))))))</f>
        <v/>
      </c>
    </row>
    <row r="34" ht="15" customHeight="1">
      <c r="B34">
        <f>B33+1</f>
        <v/>
      </c>
      <c r="C34" t="inlineStr">
        <is>
          <t>Finvara The King’s Gambit Irish Whiskey</t>
        </is>
      </c>
      <c r="D34" t="n">
        <v>7.5</v>
      </c>
      <c r="E34" s="13" t="n">
        <v>60</v>
      </c>
      <c r="F34" s="17">
        <f>($E$30*EXP((LN(250.0/$E$30)/(10.0-$D$30))*(D34-$D$30)))/E34</f>
        <v/>
      </c>
      <c r="G34">
        <f>IF(F34="","",IF(F34&gt;=1.75,"S",IF(F34&gt;=1,"A",IF(F34&gt;=0.85,"B",IF(F34&gt;=0.65,"C",IF(F34&gt;=0.5,"D","F"))))))</f>
        <v/>
      </c>
      <c r="H34" t="inlineStr">
        <is>
          <t>Bar</t>
        </is>
      </c>
      <c r="I34" t="inlineStr">
        <is>
          <t>"Second Best" — Blur</t>
        </is>
      </c>
      <c r="J34" s="13" t="n">
        <v>60</v>
      </c>
      <c r="K34">
        <f>EXP($N$12*(D34-D$30))*E$30/J34</f>
        <v/>
      </c>
      <c r="L34">
        <f>IF(K34="","",IF(K34&gt;=1.75,"S",IF(K34&gt;=1,"A",IF(K34&gt;=0.85,"B",IF(K34&gt;=0.65,"C",IF(K34&gt;=0.5,"D","F"))))))</f>
        <v/>
      </c>
    </row>
    <row r="35" ht="15" customHeight="1">
      <c r="B35">
        <f>B34+1</f>
        <v/>
      </c>
      <c r="C35" t="inlineStr">
        <is>
          <t>The Presidential Dram 4 Year SB BP</t>
        </is>
      </c>
      <c r="D35" t="n">
        <v>6.3</v>
      </c>
      <c r="E35" s="13" t="n">
        <v>49.99</v>
      </c>
      <c r="F35" s="17">
        <f>($E$30*EXP((LN(250.0/$E$30)/(10.0-$D$30))*(D35-$D$30)))/E35</f>
        <v/>
      </c>
      <c r="G35">
        <f>IF(F35="","",IF(F35&gt;=1.75,"S",IF(F35&gt;=1,"A",IF(F35&gt;=0.85,"B",IF(F35&gt;=0.65,"C",IF(F35&gt;=0.5,"D","F"))))))</f>
        <v/>
      </c>
      <c r="H35" t="inlineStr">
        <is>
          <t>Bar</t>
        </is>
      </c>
      <c r="I35" t="inlineStr">
        <is>
          <t>"All Along the Watchtower" — Jimi Hendrix</t>
        </is>
      </c>
      <c r="J35" s="13" t="n">
        <v>49.99</v>
      </c>
      <c r="K35">
        <f>EXP($N$12*(D35-D$30))*E$30/J35</f>
        <v/>
      </c>
      <c r="L35">
        <f>IF(K35="","",IF(K35&gt;=1.75,"S",IF(K35&gt;=1,"A",IF(K35&gt;=0.85,"B",IF(K35&gt;=0.65,"C",IF(K35&gt;=0.5,"D","F"))))))</f>
        <v/>
      </c>
    </row>
    <row r="36" ht="15" customHeight="1">
      <c r="B36">
        <f>B35+1</f>
        <v/>
      </c>
      <c r="C36" t="inlineStr">
        <is>
          <t>The Legendary Dark Silkie Irish Whiskey</t>
        </is>
      </c>
      <c r="D36" t="n">
        <v>6.3</v>
      </c>
      <c r="E36" s="13" t="n">
        <v>50</v>
      </c>
      <c r="F36" s="17">
        <f>($E$30*EXP((LN(250.0/$E$30)/(10.0-$D$30))*(D36-$D$30)))/E36</f>
        <v/>
      </c>
      <c r="G36">
        <f>IF(F36="","",IF(F36&gt;=1.75,"S",IF(F36&gt;=1,"A",IF(F36&gt;=0.85,"B",IF(F36&gt;=0.65,"C",IF(F36&gt;=0.5,"D","F"))))))</f>
        <v/>
      </c>
      <c r="H36" t="inlineStr">
        <is>
          <t>Bar</t>
        </is>
      </c>
      <c r="I36" t="inlineStr">
        <is>
          <t>"The Mist Covered Mountains" — Traditional</t>
        </is>
      </c>
      <c r="J36" s="13" t="n">
        <v>50</v>
      </c>
      <c r="K36">
        <f>EXP($N$12*(D36-D$30))*E$30/J36</f>
        <v/>
      </c>
      <c r="L36">
        <f>IF(K36="","",IF(K36&gt;=1.75,"S",IF(K36&gt;=1,"A",IF(K36&gt;=0.85,"B",IF(K36&gt;=0.65,"C",IF(K36&gt;=0.5,"D","F"))))))</f>
        <v/>
      </c>
    </row>
    <row r="37" ht="15" customHeight="1">
      <c r="B37">
        <f>B36+1</f>
        <v/>
      </c>
      <c r="C37" t="inlineStr">
        <is>
          <t>Woodford Reserve Double Oaked</t>
        </is>
      </c>
      <c r="D37" t="n">
        <v>6.3</v>
      </c>
      <c r="E37" s="13" t="n">
        <v>49.99</v>
      </c>
      <c r="F37" s="17">
        <f>($E$30*EXP((LN(250.0/$E$30)/(10.0-$D$30))*(D37-$D$30)))/E37</f>
        <v/>
      </c>
      <c r="G37">
        <f>IF(F37="","",IF(F37&gt;=1.75,"S",IF(F37&gt;=1,"A",IF(F37&gt;=0.85,"B",IF(F37&gt;=0.65,"C",IF(F37&gt;=0.5,"D","F"))))))</f>
        <v/>
      </c>
      <c r="H37" t="inlineStr">
        <is>
          <t>Bar</t>
        </is>
      </c>
      <c r="I37" t="inlineStr">
        <is>
          <t>"Rich Girl" — Hall &amp; Oates</t>
        </is>
      </c>
      <c r="J37" s="13" t="n">
        <v>49.99</v>
      </c>
      <c r="K37">
        <f>EXP($N$12*(D37-D$30))*E$30/J37</f>
        <v/>
      </c>
      <c r="L37">
        <f>IF(K37="","",IF(K37&gt;=1.75,"S",IF(K37&gt;=1,"A",IF(K37&gt;=0.85,"B",IF(K37&gt;=0.65,"C",IF(K37&gt;=0.5,"D","F"))))))</f>
        <v/>
      </c>
    </row>
    <row r="38" ht="15" customHeight="1">
      <c r="B38">
        <f>B37+1</f>
        <v/>
      </c>
      <c r="C38" t="inlineStr">
        <is>
          <t>Redwood Empire Pipe Dream</t>
        </is>
      </c>
      <c r="D38" t="n">
        <v>6.3</v>
      </c>
      <c r="E38" s="13" t="n">
        <v>49.99</v>
      </c>
      <c r="F38" s="17">
        <f>($E$30*EXP((LN(250.0/$E$30)/(10.0-$D$30))*(D38-$D$30)))/E38</f>
        <v/>
      </c>
      <c r="G38">
        <f>IF(F38="","",IF(F38&gt;=1.75,"S",IF(F38&gt;=1,"A",IF(F38&gt;=0.85,"B",IF(F38&gt;=0.65,"C",IF(F38&gt;=0.5,"D","F"))))))</f>
        <v/>
      </c>
      <c r="H38" t="inlineStr">
        <is>
          <t>Bar</t>
        </is>
      </c>
      <c r="I38" t="inlineStr">
        <is>
          <t>"Bikini" — Caroline Rose</t>
        </is>
      </c>
      <c r="J38" s="13" t="n">
        <v>49.99</v>
      </c>
      <c r="K38">
        <f>EXP($N$12*(D38-D$30))*E$30/J38</f>
        <v/>
      </c>
      <c r="L38">
        <f>IF(K38="","",IF(K38&gt;=1.75,"S",IF(K38&gt;=1,"A",IF(K38&gt;=0.85,"B",IF(K38&gt;=0.65,"C",IF(K38&gt;=0.5,"D","F"))))))</f>
        <v/>
      </c>
    </row>
    <row r="39" ht="15" customHeight="1">
      <c r="B39">
        <f>B38+1</f>
        <v/>
      </c>
      <c r="C39" t="inlineStr">
        <is>
          <t>Lochlea Our Barley Single Malt</t>
        </is>
      </c>
      <c r="D39" t="n">
        <v>7.3</v>
      </c>
      <c r="E39" s="13" t="n">
        <v>60</v>
      </c>
      <c r="F39" s="17">
        <f>($E$30*EXP((LN(250.0/$E$30)/(10.0-$D$30))*(D39-$D$30)))/E39</f>
        <v/>
      </c>
      <c r="G39">
        <f>IF(F39="","",IF(F39&gt;=1.75,"S",IF(F39&gt;=1,"A",IF(F39&gt;=0.85,"B",IF(F39&gt;=0.65,"C",IF(F39&gt;=0.5,"D","F"))))))</f>
        <v/>
      </c>
      <c r="H39" t="inlineStr">
        <is>
          <t>Bar</t>
        </is>
      </c>
      <c r="I39" t="inlineStr">
        <is>
          <t>"Such Great Heights" — Iron &amp; Wine</t>
        </is>
      </c>
      <c r="J39" s="13" t="n">
        <v>60</v>
      </c>
      <c r="K39">
        <f>EXP($N$12*(D39-D$30))*E$30/J39</f>
        <v/>
      </c>
      <c r="L39">
        <f>IF(K39="","",IF(K39&gt;=1.75,"S",IF(K39&gt;=1,"A",IF(K39&gt;=0.85,"B",IF(K39&gt;=0.65,"C",IF(K39&gt;=0.5,"D","F"))))))</f>
        <v/>
      </c>
    </row>
    <row r="40" ht="15" customHeight="1">
      <c r="B40">
        <f>B39+1</f>
        <v/>
      </c>
      <c r="C40" t="inlineStr">
        <is>
          <t xml:space="preserve">Jack Daniel’s Bonded </t>
        </is>
      </c>
      <c r="D40" t="n">
        <v>4.5</v>
      </c>
      <c r="E40" s="13" t="n">
        <v>37</v>
      </c>
      <c r="F40" s="17">
        <f>($E$30*EXP((LN(250.0/$E$30)/(10.0-$D$30))*(D40-$D$30)))/E40</f>
        <v/>
      </c>
      <c r="G40">
        <f>IF(F40="","",IF(F40&gt;=1.75,"S",IF(F40&gt;=1,"A",IF(F40&gt;=0.85,"B",IF(F40&gt;=0.65,"C",IF(F40&gt;=0.5,"D","F"))))))</f>
        <v/>
      </c>
      <c r="H40" t="inlineStr">
        <is>
          <t>Bust</t>
        </is>
      </c>
      <c r="I40" t="inlineStr">
        <is>
          <t>"Pretender" — Foo Fighters</t>
        </is>
      </c>
      <c r="J40" s="13" t="n">
        <v>37</v>
      </c>
      <c r="K40">
        <f>EXP($N$12*(D40-D$30))*E$30/J40</f>
        <v/>
      </c>
      <c r="L40">
        <f>IF(K40="","",IF(K40&gt;=1.75,"S",IF(K40&gt;=1,"A",IF(K40&gt;=0.85,"B",IF(K40&gt;=0.65,"C",IF(K40&gt;=0.5,"D","F"))))))</f>
        <v/>
      </c>
    </row>
    <row r="41" ht="15" customHeight="1">
      <c r="B41">
        <f>B40+1</f>
        <v/>
      </c>
      <c r="C41" t="inlineStr">
        <is>
          <t>Two Stacks “The First Cut” Irish Whiskey</t>
        </is>
      </c>
      <c r="D41" t="n">
        <v>5.3</v>
      </c>
      <c r="E41" s="13" t="n">
        <v>44</v>
      </c>
      <c r="F41" s="17">
        <f>($E$30*EXP((LN(250.0/$E$30)/(10.0-$D$30))*(D41-$D$30)))/E41</f>
        <v/>
      </c>
      <c r="G41">
        <f>IF(F41="","",IF(F41&gt;=1.75,"S",IF(F41&gt;=1,"A",IF(F41&gt;=0.85,"B",IF(F41&gt;=0.65,"C",IF(F41&gt;=0.5,"D","F"))))))</f>
        <v/>
      </c>
      <c r="H41" t="inlineStr">
        <is>
          <t>Bar</t>
        </is>
      </c>
      <c r="I41" t="inlineStr">
        <is>
          <t>"The Sick Bed of Cuchulainn" — The Pogues</t>
        </is>
      </c>
      <c r="J41" s="13" t="n">
        <v>44</v>
      </c>
      <c r="K41">
        <f>EXP($N$12*(D41-D$30))*E$30/J41</f>
        <v/>
      </c>
      <c r="L41">
        <f>IF(K41="","",IF(K41&gt;=1.75,"S",IF(K41&gt;=1,"A",IF(K41&gt;=0.85,"B",IF(K41&gt;=0.65,"C",IF(K41&gt;=0.5,"D","F"))))))</f>
        <v/>
      </c>
    </row>
    <row r="42" ht="15" customHeight="1">
      <c r="B42">
        <f>B41+1</f>
        <v/>
      </c>
      <c r="C42" t="inlineStr">
        <is>
          <t>Old Forester 1920 Prohibition Style</t>
        </is>
      </c>
      <c r="D42" t="n">
        <v>7.5</v>
      </c>
      <c r="E42" s="13" t="n">
        <v>60</v>
      </c>
      <c r="F42" s="17">
        <f>($E$30*EXP((LN(250.0/$E$30)/(10.0-$D$30))*(D42-$D$30)))/E42</f>
        <v/>
      </c>
      <c r="G42">
        <f>IF(F42="","",IF(F42&gt;=1.75,"S",IF(F42&gt;=1,"A",IF(F42&gt;=0.85,"B",IF(F42&gt;=0.65,"C",IF(F42&gt;=0.5,"D","F"))))))</f>
        <v/>
      </c>
      <c r="H42" t="inlineStr">
        <is>
          <t>Bar</t>
        </is>
      </c>
      <c r="I42" t="inlineStr">
        <is>
          <t>"Sweet Home Chicago" — Robert Johnson</t>
        </is>
      </c>
      <c r="J42" s="13" t="n">
        <v>60</v>
      </c>
      <c r="K42">
        <f>EXP($N$12*(D42-D$30))*E$30/J42</f>
        <v/>
      </c>
      <c r="L42">
        <f>IF(K42="","",IF(K42&gt;=1.75,"S",IF(K42&gt;=1,"A",IF(K42&gt;=0.85,"B",IF(K42&gt;=0.65,"C",IF(K42&gt;=0.5,"D","F"))))))</f>
        <v/>
      </c>
    </row>
    <row r="43" ht="15" customHeight="1">
      <c r="B43">
        <f>B42+1</f>
        <v/>
      </c>
      <c r="C43" t="inlineStr">
        <is>
          <t>Woodinville Bourbon Port Barrel Finish</t>
        </is>
      </c>
      <c r="D43" t="n">
        <v>6</v>
      </c>
      <c r="E43" s="13" t="n">
        <v>50</v>
      </c>
      <c r="F43" s="17">
        <f>($E$30*EXP((LN(250.0/$E$30)/(10.0-$D$30))*(D43-$D$30)))/E43</f>
        <v/>
      </c>
      <c r="G43">
        <f>IF(F43="","",IF(F43&gt;=1.75,"S",IF(F43&gt;=1,"A",IF(F43&gt;=0.85,"B",IF(F43&gt;=0.65,"C",IF(F43&gt;=0.5,"D","F"))))))</f>
        <v/>
      </c>
      <c r="H43" t="inlineStr">
        <is>
          <t>Bar</t>
        </is>
      </c>
      <c r="I43" t="inlineStr">
        <is>
          <t>"Purple Rain" — Prince</t>
        </is>
      </c>
      <c r="J43" s="13" t="n">
        <v>50</v>
      </c>
      <c r="K43">
        <f>EXP($N$12*(D43-D$30))*E$30/J43</f>
        <v/>
      </c>
      <c r="L43">
        <f>IF(K43="","",IF(K43&gt;=1.75,"S",IF(K43&gt;=1,"A",IF(K43&gt;=0.85,"B",IF(K43&gt;=0.65,"C",IF(K43&gt;=0.5,"D","F"))))))</f>
        <v/>
      </c>
    </row>
    <row r="44" ht="15" customHeight="1">
      <c r="B44">
        <f>B43+1</f>
        <v/>
      </c>
      <c r="C44" t="inlineStr">
        <is>
          <t>Chicken Cock Small Batch Whiskey</t>
        </is>
      </c>
      <c r="D44" t="n">
        <v>8</v>
      </c>
      <c r="E44" s="13" t="n">
        <v>68</v>
      </c>
      <c r="F44" s="17">
        <f>($E$30*EXP((LN(250.0/$E$30)/(10.0-$D$30))*(D44-$D$30)))/E44</f>
        <v/>
      </c>
      <c r="G44">
        <f>IF(F44="","",IF(F44&gt;=1.75,"S",IF(F44&gt;=1,"A",IF(F44&gt;=0.85,"B",IF(F44&gt;=0.65,"C",IF(F44&gt;=0.5,"D","F"))))))</f>
        <v/>
      </c>
      <c r="H44" t="inlineStr">
        <is>
          <t>Bottle</t>
        </is>
      </c>
      <c r="I44" t="inlineStr">
        <is>
          <t>"Little Wing" — Jimi Hendrix</t>
        </is>
      </c>
      <c r="J44" s="13" t="n">
        <v>68</v>
      </c>
      <c r="K44">
        <f>EXP($N$12*(D44-D$30))*E$30/J44</f>
        <v/>
      </c>
      <c r="L44">
        <f>IF(K44="","",IF(K44&gt;=1.75,"S",IF(K44&gt;=1,"A",IF(K44&gt;=0.85,"B",IF(K44&gt;=0.65,"C",IF(K44&gt;=0.5,"D","F"))))))</f>
        <v/>
      </c>
    </row>
    <row r="45" ht="15" customHeight="1">
      <c r="B45">
        <f>B44+1</f>
        <v/>
      </c>
      <c r="C45" t="inlineStr">
        <is>
          <t>Old Potrero 6 Year Rye</t>
        </is>
      </c>
      <c r="D45" t="n">
        <v>7</v>
      </c>
      <c r="E45" s="13" t="n">
        <v>59.99</v>
      </c>
      <c r="F45" s="17">
        <f>($E$30*EXP((LN(250.0/$E$30)/(10.0-$D$30))*(D45-$D$30)))/E45</f>
        <v/>
      </c>
      <c r="G45">
        <f>IF(F45="","",IF(F45&gt;=1.75,"S",IF(F45&gt;=1,"A",IF(F45&gt;=0.85,"B",IF(F45&gt;=0.65,"C",IF(F45&gt;=0.5,"D","F"))))))</f>
        <v/>
      </c>
      <c r="H45" t="inlineStr">
        <is>
          <t>Bar</t>
        </is>
      </c>
      <c r="I45" t="inlineStr">
        <is>
          <t>"Lost" — Frank Ocean</t>
        </is>
      </c>
      <c r="J45" s="13" t="n">
        <v>59.99</v>
      </c>
      <c r="K45">
        <f>EXP($N$12*(D45-D$30))*E$30/J45</f>
        <v/>
      </c>
      <c r="L45">
        <f>IF(K45="","",IF(K45&gt;=1.75,"S",IF(K45&gt;=1,"A",IF(K45&gt;=0.85,"B",IF(K45&gt;=0.65,"C",IF(K45&gt;=0.5,"D","F"))))))</f>
        <v/>
      </c>
    </row>
    <row r="46" ht="15" customHeight="1">
      <c r="B46">
        <f>B45+1</f>
        <v/>
      </c>
      <c r="C46" t="inlineStr">
        <is>
          <t>Milk &amp; Honey Classic Single Malt Whisky</t>
        </is>
      </c>
      <c r="D46" t="n">
        <v>7</v>
      </c>
      <c r="E46" s="13" t="n">
        <v>60</v>
      </c>
      <c r="F46" s="17">
        <f>($E$30*EXP((LN(250.0/$E$30)/(10.0-$D$30))*(D46-$D$30)))/E46</f>
        <v/>
      </c>
      <c r="G46">
        <f>IF(F46="","",IF(F46&gt;=1.75,"S",IF(F46&gt;=1,"A",IF(F46&gt;=0.85,"B",IF(F46&gt;=0.65,"C",IF(F46&gt;=0.5,"D","F"))))))</f>
        <v/>
      </c>
      <c r="H46" t="inlineStr">
        <is>
          <t>Bar</t>
        </is>
      </c>
      <c r="I46" t="inlineStr">
        <is>
          <t>"Jerusalem" — Matisyahu</t>
        </is>
      </c>
      <c r="J46" s="13" t="n">
        <v>60</v>
      </c>
      <c r="K46">
        <f>EXP($N$12*(D46-D$30))*E$30/J46</f>
        <v/>
      </c>
      <c r="L46">
        <f>IF(K46="","",IF(K46&gt;=1.75,"S",IF(K46&gt;=1,"A",IF(K46&gt;=0.85,"B",IF(K46&gt;=0.65,"C",IF(K46&gt;=0.5,"D","F"))))))</f>
        <v/>
      </c>
    </row>
    <row r="47" ht="15" customHeight="1">
      <c r="B47">
        <f>B46+1</f>
        <v/>
      </c>
      <c r="C47" t="inlineStr">
        <is>
          <t>Kujira Kyojin Okinawa Japanese Whisky</t>
        </is>
      </c>
      <c r="D47" t="n">
        <v>8.6</v>
      </c>
      <c r="E47" s="13" t="n">
        <v>75</v>
      </c>
      <c r="F47" s="17">
        <f>($E$30*EXP((LN(250.0/$E$30)/(10.0-$D$30))*(D47-$D$30)))/E47</f>
        <v/>
      </c>
      <c r="G47">
        <f>IF(F47="","",IF(F47&gt;=1.75,"S",IF(F47&gt;=1,"A",IF(F47&gt;=0.85,"B",IF(F47&gt;=0.65,"C",IF(F47&gt;=0.5,"D","F"))))))</f>
        <v/>
      </c>
      <c r="H47" t="inlineStr">
        <is>
          <t>Bottle</t>
        </is>
      </c>
      <c r="I47" t="inlineStr">
        <is>
          <t>"Island in the Sun" — Weezer</t>
        </is>
      </c>
      <c r="J47" s="13" t="n">
        <v>39.99</v>
      </c>
      <c r="K47">
        <f>EXP($N$12*(D47-D$30))*E$30/J47</f>
        <v/>
      </c>
      <c r="L47">
        <f>IF(K47="","",IF(K47&gt;=1.75,"S",IF(K47&gt;=1,"A",IF(K47&gt;=0.85,"B",IF(K47&gt;=0.65,"C",IF(K47&gt;=0.5,"D","F"))))))</f>
        <v/>
      </c>
    </row>
    <row r="48" ht="15" customHeight="1">
      <c r="B48">
        <f>B47+1</f>
        <v/>
      </c>
      <c r="C48" t="inlineStr">
        <is>
          <t>Rabbit Hole Cavehill</t>
        </is>
      </c>
      <c r="D48" t="n">
        <v>6.3</v>
      </c>
      <c r="E48" s="13" t="n">
        <v>54.99</v>
      </c>
      <c r="F48" s="17">
        <f>($E$30*EXP((LN(250.0/$E$30)/(10.0-$D$30))*(D48-$D$30)))/E48</f>
        <v/>
      </c>
      <c r="G48">
        <f>IF(F48="","",IF(F48&gt;=1.75,"S",IF(F48&gt;=1,"A",IF(F48&gt;=0.85,"B",IF(F48&gt;=0.65,"C",IF(F48&gt;=0.5,"D","F"))))))</f>
        <v/>
      </c>
      <c r="H48" t="inlineStr">
        <is>
          <t>Bar</t>
        </is>
      </c>
      <c r="I48" t="inlineStr">
        <is>
          <t>"Transatlanticism" — Death Cab for Cutie</t>
        </is>
      </c>
      <c r="J48" s="13" t="n">
        <v>54.99</v>
      </c>
      <c r="K48">
        <f>EXP($N$12*(D48-D$30))*E$30/J48</f>
        <v/>
      </c>
      <c r="L48">
        <f>IF(K48="","",IF(K48&gt;=1.75,"S",IF(K48&gt;=1,"A",IF(K48&gt;=0.85,"B",IF(K48&gt;=0.65,"C",IF(K48&gt;=0.5,"D","F"))))))</f>
        <v/>
      </c>
    </row>
    <row r="49" ht="15" customHeight="1">
      <c r="B49">
        <f>B48+1</f>
        <v/>
      </c>
      <c r="C49" t="inlineStr">
        <is>
          <t>Windsor Supreme Canadian Whiskey (1973)</t>
        </is>
      </c>
      <c r="D49" t="n">
        <v>4</v>
      </c>
      <c r="E49" s="13" t="n">
        <v>35</v>
      </c>
      <c r="F49" s="17">
        <f>($E$30*EXP((LN(250.0/$E$30)/(10.0-$D$30))*(D49-$D$30)))/E49</f>
        <v/>
      </c>
      <c r="G49">
        <f>IF(F49="","",IF(F49&gt;=1.75,"S",IF(F49&gt;=1,"A",IF(F49&gt;=0.85,"B",IF(F49&gt;=0.65,"C",IF(F49&gt;=0.5,"D","F"))))))</f>
        <v/>
      </c>
      <c r="H49" t="inlineStr">
        <is>
          <t>Bust</t>
        </is>
      </c>
      <c r="I49" t="inlineStr">
        <is>
          <t>"Sugar, Sugar" — The Archies</t>
        </is>
      </c>
      <c r="J49" s="13" t="n">
        <v>35</v>
      </c>
      <c r="K49">
        <f>EXP($N$12*(D49-D$30))*E$30/J49</f>
        <v/>
      </c>
      <c r="L49">
        <f>IF(K49="","",IF(K49&gt;=1.75,"S",IF(K49&gt;=1,"A",IF(K49&gt;=0.85,"B",IF(K49&gt;=0.65,"C",IF(K49&gt;=0.5,"D","F"))))))</f>
        <v/>
      </c>
    </row>
    <row r="50" ht="15" customHeight="1">
      <c r="B50">
        <f>B49+1</f>
        <v/>
      </c>
      <c r="C50" t="inlineStr">
        <is>
          <t>Limvady Single Barrel Irish Whisky</t>
        </is>
      </c>
      <c r="D50" t="n">
        <v>7</v>
      </c>
      <c r="E50" s="13" t="n">
        <v>62</v>
      </c>
      <c r="F50" s="17">
        <f>($E$30*EXP((LN(250.0/$E$30)/(10.0-$D$30))*(D50-$D$30)))/E50</f>
        <v/>
      </c>
      <c r="G50">
        <f>IF(F50="","",IF(F50&gt;=1.75,"S",IF(F50&gt;=1,"A",IF(F50&gt;=0.85,"B",IF(F50&gt;=0.65,"C",IF(F50&gt;=0.5,"D","F"))))))</f>
        <v/>
      </c>
      <c r="H50" t="inlineStr">
        <is>
          <t>Bar</t>
        </is>
      </c>
      <c r="I50" t="inlineStr">
        <is>
          <t>"Danny Boy" — Traditional</t>
        </is>
      </c>
      <c r="J50" s="13" t="n">
        <v>62</v>
      </c>
      <c r="K50">
        <f>EXP($N$12*(D50-D$30))*E$30/J50</f>
        <v/>
      </c>
      <c r="L50">
        <f>IF(K50="","",IF(K50&gt;=1.75,"S",IF(K50&gt;=1,"A",IF(K50&gt;=0.85,"B",IF(K50&gt;=0.65,"C",IF(K50&gt;=0.5,"D","F"))))))</f>
        <v/>
      </c>
    </row>
    <row r="51" ht="15" customHeight="1">
      <c r="B51">
        <f>B50+1</f>
        <v/>
      </c>
      <c r="C51" t="inlineStr">
        <is>
          <t>Uncle Nearest 1856 Premium Whiskey</t>
        </is>
      </c>
      <c r="D51" t="n">
        <v>6.4</v>
      </c>
      <c r="E51" s="13" t="n">
        <v>57</v>
      </c>
      <c r="F51" s="17">
        <f>($E$30*EXP((LN(250.0/$E$30)/(10.0-$D$30))*(D51-$D$30)))/E51</f>
        <v/>
      </c>
      <c r="G51">
        <f>IF(F51="","",IF(F51&gt;=1.75,"S",IF(F51&gt;=1,"A",IF(F51&gt;=0.85,"B",IF(F51&gt;=0.65,"C",IF(F51&gt;=0.5,"D","F"))))))</f>
        <v/>
      </c>
      <c r="H51" t="inlineStr">
        <is>
          <t>Bar</t>
        </is>
      </c>
      <c r="I51" t="inlineStr">
        <is>
          <t>"Respect" — Aretha Franklin</t>
        </is>
      </c>
      <c r="J51" s="13" t="n">
        <v>57</v>
      </c>
      <c r="K51">
        <f>EXP($N$12*(D51-D$30))*E$30/J51</f>
        <v/>
      </c>
      <c r="L51">
        <f>IF(K51="","",IF(K51&gt;=1.75,"S",IF(K51&gt;=1,"A",IF(K51&gt;=0.85,"B",IF(K51&gt;=0.65,"C",IF(K51&gt;=0.5,"D","F"))))))</f>
        <v/>
      </c>
    </row>
    <row r="52" ht="15" customHeight="1">
      <c r="B52">
        <f>B51+1</f>
        <v/>
      </c>
      <c r="C52" t="inlineStr">
        <is>
          <t>Bib &amp; Tucker 6 Year Small Batch Bourbon</t>
        </is>
      </c>
      <c r="D52" t="n">
        <v>5.6</v>
      </c>
      <c r="E52" s="13" t="n">
        <v>49.99</v>
      </c>
      <c r="F52" s="17">
        <f>($E$30*EXP((LN(250.0/$E$30)/(10.0-$D$30))*(D52-$D$30)))/E52</f>
        <v/>
      </c>
      <c r="G52">
        <f>IF(F52="","",IF(F52&gt;=1.75,"S",IF(F52&gt;=1,"A",IF(F52&gt;=0.85,"B",IF(F52&gt;=0.65,"C",IF(F52&gt;=0.5,"D","F"))))))</f>
        <v/>
      </c>
      <c r="H52" t="inlineStr">
        <is>
          <t>Bar</t>
        </is>
      </c>
      <c r="I52" t="inlineStr">
        <is>
          <t>"Mr. Jones" — Counting Crows</t>
        </is>
      </c>
      <c r="J52" s="13" t="n">
        <v>49.99</v>
      </c>
      <c r="K52">
        <f>EXP($N$12*(D52-D$30))*E$30/J52</f>
        <v/>
      </c>
      <c r="L52">
        <f>IF(K52="","",IF(K52&gt;=1.75,"S",IF(K52&gt;=1,"A",IF(K52&gt;=0.85,"B",IF(K52&gt;=0.65,"C",IF(K52&gt;=0.5,"D","F"))))))</f>
        <v/>
      </c>
    </row>
    <row r="53" ht="15" customHeight="1">
      <c r="B53">
        <f>B52+1</f>
        <v/>
      </c>
      <c r="C53" t="inlineStr">
        <is>
          <t xml:space="preserve">Slyrs Classic Single Malt Whiskey </t>
        </is>
      </c>
      <c r="D53" t="n">
        <v>5.6</v>
      </c>
      <c r="E53" s="13" t="n">
        <v>50</v>
      </c>
      <c r="F53" s="17">
        <f>($E$30*EXP((LN(250.0/$E$30)/(10.0-$D$30))*(D53-$D$30)))/E53</f>
        <v/>
      </c>
      <c r="G53">
        <f>IF(F53="","",IF(F53&gt;=1.75,"S",IF(F53&gt;=1,"A",IF(F53&gt;=0.85,"B",IF(F53&gt;=0.65,"C",IF(F53&gt;=0.5,"D","F"))))))</f>
        <v/>
      </c>
      <c r="H53" t="inlineStr">
        <is>
          <t>Bar</t>
        </is>
      </c>
      <c r="I53" t="inlineStr">
        <is>
          <t>"99 Luftballons" — Nena</t>
        </is>
      </c>
      <c r="J53" s="13" t="n">
        <v>50</v>
      </c>
      <c r="K53">
        <f>EXP($N$12*(D53-D$30))*E$30/J53</f>
        <v/>
      </c>
      <c r="L53">
        <f>IF(K53="","",IF(K53&gt;=1.75,"S",IF(K53&gt;=1,"A",IF(K53&gt;=0.85,"B",IF(K53&gt;=0.65,"C",IF(K53&gt;=0.5,"D","F"))))))</f>
        <v/>
      </c>
    </row>
    <row r="54" ht="15" customHeight="1">
      <c r="B54">
        <f>B53+1</f>
        <v/>
      </c>
      <c r="C54" t="inlineStr">
        <is>
          <t>Kyro Malt Rye Whiskey</t>
        </is>
      </c>
      <c r="D54" t="n">
        <v>5.6</v>
      </c>
      <c r="E54" s="13" t="n">
        <v>51</v>
      </c>
      <c r="F54" s="17">
        <f>($E$30*EXP((LN(250.0/$E$30)/(10.0-$D$30))*(D54-$D$30)))/E54</f>
        <v/>
      </c>
      <c r="G54">
        <f>IF(F54="","",IF(F54&gt;=1.75,"S",IF(F54&gt;=1,"A",IF(F54&gt;=0.85,"B",IF(F54&gt;=0.65,"C",IF(F54&gt;=0.5,"D","F"))))))</f>
        <v/>
      </c>
      <c r="H54" t="inlineStr">
        <is>
          <t>Bar</t>
        </is>
      </c>
      <c r="I54" t="inlineStr">
        <is>
          <t>"Dancing Queen" — ABBA</t>
        </is>
      </c>
      <c r="J54" s="13" t="n">
        <v>51</v>
      </c>
      <c r="K54">
        <f>EXP($N$12*(D54-D$30))*E$30/J54</f>
        <v/>
      </c>
      <c r="L54">
        <f>IF(K54="","",IF(K54&gt;=1.75,"S",IF(K54&gt;=1,"A",IF(K54&gt;=0.85,"B",IF(K54&gt;=0.65,"C",IF(K54&gt;=0.5,"D","F"))))))</f>
        <v/>
      </c>
    </row>
    <row r="55" ht="15" customHeight="1">
      <c r="B55">
        <f>B54+1</f>
        <v/>
      </c>
      <c r="C55" t="inlineStr">
        <is>
          <t>Indri Trini Three Wood</t>
        </is>
      </c>
      <c r="D55" t="n">
        <v>7.6</v>
      </c>
      <c r="E55" s="13" t="n">
        <v>69.98999999999999</v>
      </c>
      <c r="F55" s="17">
        <f>($E$30*EXP((LN(250.0/$E$30)/(10.0-$D$30))*(D55-$D$30)))/E55</f>
        <v/>
      </c>
      <c r="G55">
        <f>IF(F55="","",IF(F55&gt;=1.75,"S",IF(F55&gt;=1,"A",IF(F55&gt;=0.85,"B",IF(F55&gt;=0.65,"C",IF(F55&gt;=0.5,"D","F"))))))</f>
        <v/>
      </c>
      <c r="H55" t="inlineStr">
        <is>
          <t>Bottle</t>
        </is>
      </c>
      <c r="I55" s="6" t="inlineStr">
        <is>
          <t>"Far From Any Road" — The Handsome Family</t>
        </is>
      </c>
      <c r="J55" s="13" t="n">
        <v>61</v>
      </c>
      <c r="K55">
        <f>EXP($N$12*(D55-D$30))*E$30/J55</f>
        <v/>
      </c>
      <c r="L55">
        <f>IF(K55="","",IF(K55&gt;=1.75,"S",IF(K55&gt;=1,"A",IF(K55&gt;=0.85,"B",IF(K55&gt;=0.65,"C",IF(K55&gt;=0.5,"D","F"))))))</f>
        <v/>
      </c>
    </row>
    <row r="56" ht="15" customHeight="1">
      <c r="B56">
        <f>B55+1</f>
        <v/>
      </c>
      <c r="C56" t="inlineStr">
        <is>
          <t>Morris Signature Australian Single Malt</t>
        </is>
      </c>
      <c r="D56" t="n">
        <v>6.3</v>
      </c>
      <c r="E56" s="13" t="n">
        <v>59.99</v>
      </c>
      <c r="F56" s="17">
        <f>($E$30*EXP((LN(250.0/$E$30)/(10.0-$D$30))*(D56-$D$30)))/E56</f>
        <v/>
      </c>
      <c r="G56">
        <f>IF(F56="","",IF(F56&gt;=1.75,"S",IF(F56&gt;=1,"A",IF(F56&gt;=0.85,"B",IF(F56&gt;=0.65,"C",IF(F56&gt;=0.5,"D","F"))))))</f>
        <v/>
      </c>
      <c r="H56" t="inlineStr">
        <is>
          <t>Bar</t>
        </is>
      </c>
      <c r="I56" s="6" t="inlineStr">
        <is>
          <t>"Down by the River" — Neil Young (with Crazy Horse)</t>
        </is>
      </c>
      <c r="J56" s="13" t="n">
        <v>59.99</v>
      </c>
      <c r="K56">
        <f>EXP($N$12*(D56-D$30))*E$30/J56</f>
        <v/>
      </c>
      <c r="L56">
        <f>IF(K56="","",IF(K56&gt;=1.75,"S",IF(K56&gt;=1,"A",IF(K56&gt;=0.85,"B",IF(K56&gt;=0.65,"C",IF(K56&gt;=0.5,"D","F"))))))</f>
        <v/>
      </c>
    </row>
    <row r="57" ht="15" customHeight="1">
      <c r="B57">
        <f>B56+1</f>
        <v/>
      </c>
      <c r="C57" t="inlineStr">
        <is>
          <t>Eifel German Single Malt</t>
        </is>
      </c>
      <c r="D57" t="n">
        <v>6.3</v>
      </c>
      <c r="E57" s="13" t="n">
        <v>59.99</v>
      </c>
      <c r="F57" s="17">
        <f>($E$30*EXP((LN(250.0/$E$30)/(10.0-$D$30))*(D57-$D$30)))/E57</f>
        <v/>
      </c>
      <c r="G57">
        <f>IF(F57="","",IF(F57&gt;=1.75,"S",IF(F57&gt;=1,"A",IF(F57&gt;=0.85,"B",IF(F57&gt;=0.65,"C",IF(F57&gt;=0.5,"D","F"))))))</f>
        <v/>
      </c>
      <c r="H57" t="inlineStr">
        <is>
          <t>Bar</t>
        </is>
      </c>
      <c r="I57" t="inlineStr">
        <is>
          <t>"Vienna" — Ultravox</t>
        </is>
      </c>
      <c r="J57" s="13" t="n">
        <v>59.99</v>
      </c>
      <c r="K57">
        <f>EXP($N$12*(D57-D$30))*E$30/J57</f>
        <v/>
      </c>
      <c r="L57">
        <f>IF(K57="","",IF(K57&gt;=1.75,"S",IF(K57&gt;=1,"A",IF(K57&gt;=0.85,"B",IF(K57&gt;=0.65,"C",IF(K57&gt;=0.5,"D","F"))))))</f>
        <v/>
      </c>
    </row>
    <row r="58" ht="15" customHeight="1">
      <c r="B58">
        <f>B57+1</f>
        <v/>
      </c>
      <c r="C58" t="inlineStr">
        <is>
          <t>Westward Pinot Noir Cask</t>
        </is>
      </c>
      <c r="D58" t="n">
        <v>7.6</v>
      </c>
      <c r="E58" s="13" t="n">
        <v>79.98999999999999</v>
      </c>
      <c r="F58" s="17">
        <f>($E$30*EXP((LN(250.0/$E$30)/(10.0-$D$30))*(D58-$D$30)))/E58</f>
        <v/>
      </c>
      <c r="G58">
        <f>IF(F58="","",IF(F58&gt;=1.75,"S",IF(F58&gt;=1,"A",IF(F58&gt;=0.85,"B",IF(F58&gt;=0.65,"C",IF(F58&gt;=0.5,"D","F"))))))</f>
        <v/>
      </c>
      <c r="H58" t="inlineStr">
        <is>
          <t>Bar</t>
        </is>
      </c>
      <c r="I58" t="inlineStr">
        <is>
          <t>"Harvest Moon" — Neil Young</t>
        </is>
      </c>
      <c r="J58" s="13" t="n">
        <v>79.98999999999999</v>
      </c>
      <c r="K58">
        <f>EXP($N$12*(D58-D$30))*E$30/J58</f>
        <v/>
      </c>
      <c r="L58">
        <f>IF(K58="","",IF(K58&gt;=1.75,"S",IF(K58&gt;=1,"A",IF(K58&gt;=0.85,"B",IF(K58&gt;=0.65,"C",IF(K58&gt;=0.5,"D","F"))))))</f>
        <v/>
      </c>
    </row>
    <row r="59" ht="15" customHeight="1">
      <c r="B59">
        <f>B58+1</f>
        <v/>
      </c>
      <c r="C59" t="inlineStr">
        <is>
          <t>Kyro Wood Smoke Rye Whiskey</t>
        </is>
      </c>
      <c r="D59" t="n">
        <v>6.7</v>
      </c>
      <c r="E59" s="13" t="n">
        <v>64.98999999999999</v>
      </c>
      <c r="F59" s="17">
        <f>($E$30*EXP((LN(250.0/$E$30)/(10.0-$D$30))*(D59-$D$30)))/E59</f>
        <v/>
      </c>
      <c r="G59">
        <f>IF(F59="","",IF(F59&gt;=1.75,"S",IF(F59&gt;=1,"A",IF(F59&gt;=0.85,"B",IF(F59&gt;=0.65,"C",IF(F59&gt;=0.5,"D","F"))))))</f>
        <v/>
      </c>
      <c r="H59" t="inlineStr">
        <is>
          <t>Bar</t>
        </is>
      </c>
      <c r="I59" t="inlineStr">
        <is>
          <t>"Ring of Fire" — Johnny Cash</t>
        </is>
      </c>
      <c r="J59" s="13" t="n">
        <v>64.98999999999999</v>
      </c>
      <c r="K59">
        <f>EXP($N$12*(D59-D$30))*E$30/J59</f>
        <v/>
      </c>
      <c r="L59">
        <f>IF(K59="","",IF(K59&gt;=1.75,"S",IF(K59&gt;=1,"A",IF(K59&gt;=0.85,"B",IF(K59&gt;=0.65,"C",IF(K59&gt;=0.5,"D","F"))))))</f>
        <v/>
      </c>
    </row>
    <row r="60" ht="15" customHeight="1">
      <c r="B60">
        <f>B59+1</f>
        <v/>
      </c>
      <c r="C60" t="inlineStr">
        <is>
          <t>Old Forester Single Barrel Barrel Strength</t>
        </is>
      </c>
      <c r="D60" t="n">
        <v>8</v>
      </c>
      <c r="E60" s="13" t="n">
        <v>79.98999999999999</v>
      </c>
      <c r="F60" s="17">
        <f>($E$30*EXP((LN(250.0/$E$30)/(10.0-$D$30))*(D60-$D$30)))/E60</f>
        <v/>
      </c>
      <c r="G60">
        <f>IF(F60="","",IF(F60&gt;=1.75,"S",IF(F60&gt;=1,"A",IF(F60&gt;=0.85,"B",IF(F60&gt;=0.65,"C",IF(F60&gt;=0.5,"D","F"))))))</f>
        <v/>
      </c>
      <c r="H60" t="inlineStr">
        <is>
          <t>Bottle</t>
        </is>
      </c>
      <c r="I60" t="inlineStr">
        <is>
          <t>"September" — Earth, Wind &amp; Fire</t>
        </is>
      </c>
      <c r="J60" s="13" t="n">
        <v>79.98999999999999</v>
      </c>
      <c r="K60">
        <f>EXP($N$12*(D60-D$30))*E$30/J60</f>
        <v/>
      </c>
      <c r="L60">
        <f>IF(K60="","",IF(K60&gt;=1.75,"S",IF(K60&gt;=1,"A",IF(K60&gt;=0.85,"B",IF(K60&gt;=0.65,"C",IF(K60&gt;=0.5,"D","F"))))))</f>
        <v/>
      </c>
    </row>
    <row r="61" ht="15" customHeight="1">
      <c r="B61">
        <f>B61+1</f>
        <v/>
      </c>
      <c r="C61" t="inlineStr">
        <is>
          <t>Loch Lomond 12 Year</t>
        </is>
      </c>
      <c r="D61" t="n">
        <v>5.5</v>
      </c>
      <c r="E61" s="13" t="n">
        <v>55</v>
      </c>
      <c r="F61" s="17">
        <f>($E$30*EXP((LN(250.0/$E$30)/(10.0-$D$30))*(D62-$D$30)))/E62</f>
        <v/>
      </c>
      <c r="G61">
        <f>IF(F62="","",IF(F62&gt;=1.75,"S",IF(F62&gt;=1,"A",IF(F62&gt;=0.85,"B",IF(F62&gt;=0.65,"C",IF(F62&gt;=0.5,"D","F"))))))</f>
        <v/>
      </c>
      <c r="H61" t="inlineStr">
        <is>
          <t>Bar</t>
        </is>
      </c>
      <c r="I61" t="inlineStr">
        <is>
          <t>"Ordinary World" — Duran Duran</t>
        </is>
      </c>
      <c r="J61" s="13" t="n">
        <v>55</v>
      </c>
      <c r="K61">
        <f>EXP($N$12*(D62-D$30))*E$30/J62</f>
        <v/>
      </c>
      <c r="L61">
        <f>IF(K62="","",IF(K62&gt;=1.75,"S",IF(K62&gt;=1,"A",IF(K62&gt;=0.85,"B",IF(K62&gt;=0.65,"C",IF(K62&gt;=0.5,"D","F"))))))</f>
        <v/>
      </c>
    </row>
    <row r="62" ht="15" customHeight="1">
      <c r="B62">
        <f>B62+1</f>
        <v/>
      </c>
      <c r="C62" t="inlineStr">
        <is>
          <t>Lock, Stock &amp; Barrel Vatted Straight Rye</t>
        </is>
      </c>
      <c r="D62" t="n">
        <v>7.3</v>
      </c>
      <c r="E62" s="13" t="n">
        <v>74.98999999999999</v>
      </c>
      <c r="F62" s="17">
        <f>($E$30*EXP((LN(250.0/$E$30)/(10.0-$D$30))*(D63-$D$30)))/E63</f>
        <v/>
      </c>
      <c r="G62">
        <f>IF(F63="","",IF(F63&gt;=1.75,"S",IF(F63&gt;=1,"A",IF(F63&gt;=0.85,"B",IF(F63&gt;=0.65,"C",IF(F63&gt;=0.5,"D","F"))))))</f>
        <v/>
      </c>
      <c r="H62" t="inlineStr">
        <is>
          <t>Bar</t>
        </is>
      </c>
      <c r="I62" t="inlineStr">
        <is>
          <t>"Money" — Pink Floyd</t>
        </is>
      </c>
      <c r="J62" s="13" t="n">
        <v>74.98999999999999</v>
      </c>
      <c r="K62">
        <f>EXP($N$12*(D63-D$30))*E$30/J63</f>
        <v/>
      </c>
      <c r="L62">
        <f>IF(K63="","",IF(K63&gt;=1.75,"S",IF(K63&gt;=1,"A",IF(K63&gt;=0.85,"B",IF(K63&gt;=0.65,"C",IF(K63&gt;=0.5,"D","F"))))))</f>
        <v/>
      </c>
    </row>
    <row r="63" ht="15" customHeight="1">
      <c r="B63">
        <f>B63+1</f>
        <v/>
      </c>
      <c r="C63" t="inlineStr">
        <is>
          <t>Mary Dowling Tequila Barrel Finished Bourbon</t>
        </is>
      </c>
      <c r="D63" t="n">
        <v>7.3</v>
      </c>
      <c r="E63" s="13" t="n">
        <v>75</v>
      </c>
      <c r="F63" s="17">
        <f>($E$30*EXP((LN(250.0/$E$30)/(10.0-$D$30))*(D64-$D$30)))/E64</f>
        <v/>
      </c>
      <c r="G63">
        <f>IF(F64="","",IF(F64&gt;=1.75,"S",IF(F64&gt;=1,"A",IF(F64&gt;=0.85,"B",IF(F64&gt;=0.65,"C",IF(F64&gt;=0.5,"D","F"))))))</f>
        <v/>
      </c>
      <c r="H63" t="inlineStr">
        <is>
          <t>Bar</t>
        </is>
      </c>
      <c r="I63" t="inlineStr">
        <is>
          <t>"La Llorona" — Chavela Vargas</t>
        </is>
      </c>
      <c r="J63" s="13" t="n">
        <v>75</v>
      </c>
      <c r="K63">
        <f>EXP($N$12*(D64-D$30))*E$30/J64</f>
        <v/>
      </c>
      <c r="L63">
        <f>IF(K64="","",IF(K64&gt;=1.75,"S",IF(K64&gt;=1,"A",IF(K64&gt;=0.85,"B",IF(K64&gt;=0.65,"C",IF(K64&gt;=0.5,"D","F"))))))</f>
        <v/>
      </c>
    </row>
    <row r="64" ht="15" customHeight="1">
      <c r="B64">
        <f>B64+1</f>
        <v/>
      </c>
      <c r="C64" t="inlineStr">
        <is>
          <t>Ohishi 8 Year Ex‑Sherry Cask</t>
        </is>
      </c>
      <c r="D64" t="n">
        <v>7.6</v>
      </c>
      <c r="E64" s="13" t="n">
        <v>79.98999999999999</v>
      </c>
      <c r="F64" s="17">
        <f>($E$30*EXP((LN(250.0/$E$30)/(10.0-$D$30))*(D65-$D$30)))/E65</f>
        <v/>
      </c>
      <c r="G64">
        <f>IF(F65="","",IF(F65&gt;=1.75,"S",IF(F65&gt;=1,"A",IF(F65&gt;=0.85,"B",IF(F65&gt;=0.65,"C",IF(F65&gt;=0.5,"D","F"))))))</f>
        <v/>
      </c>
      <c r="H64" t="inlineStr">
        <is>
          <t>Bottle</t>
        </is>
      </c>
      <c r="I64" t="inlineStr">
        <is>
          <t>"Smooth" — Santana ft. Rob Thomas</t>
        </is>
      </c>
      <c r="J64" s="13" t="n">
        <v>79.98999999999999</v>
      </c>
      <c r="K64">
        <f>EXP($N$12*(D65-D$30))*E$30/J65</f>
        <v/>
      </c>
      <c r="L64">
        <f>IF(K65="","",IF(K65&gt;=1.75,"S",IF(K65&gt;=1,"A",IF(K65&gt;=0.85,"B",IF(K65&gt;=0.65,"C",IF(K65&gt;=0.5,"D","F"))))))</f>
        <v/>
      </c>
    </row>
    <row r="65" ht="15" customHeight="1">
      <c r="B65">
        <f>B65+1</f>
        <v/>
      </c>
      <c r="C65" t="inlineStr">
        <is>
          <t>Compass Box Peat Monster</t>
        </is>
      </c>
      <c r="D65" t="n">
        <v>7.1</v>
      </c>
      <c r="E65" s="13" t="n">
        <v>75</v>
      </c>
      <c r="F65" s="17">
        <f>($E$30*EXP((LN(250.0/$E$30)/(10.0-$D$30))*(D66-$D$30)))/E66</f>
        <v/>
      </c>
      <c r="G65">
        <f>IF(F66="","",IF(F66&gt;=1.75,"S",IF(F66&gt;=1,"A",IF(F66&gt;=0.85,"B",IF(F66&gt;=0.65,"C",IF(F66&gt;=0.5,"D","F"))))))</f>
        <v/>
      </c>
      <c r="H65" t="inlineStr">
        <is>
          <t>Bottle</t>
        </is>
      </c>
      <c r="I65" t="inlineStr">
        <is>
          <t>"The Chain" — Fleetwood Mac</t>
        </is>
      </c>
      <c r="J65" s="13" t="n">
        <v>75</v>
      </c>
      <c r="K65">
        <f>EXP($N$12*(D66-D$30))*E$30/J66</f>
        <v/>
      </c>
      <c r="L65">
        <f>IF(K66="","",IF(K66&gt;=1.75,"S",IF(K66&gt;=1,"A",IF(K66&gt;=0.85,"B",IF(K66&gt;=0.65,"C",IF(K66&gt;=0.5,"D","F"))))))</f>
        <v/>
      </c>
    </row>
    <row r="66" ht="15" customHeight="1">
      <c r="B66">
        <f>B66+1</f>
        <v/>
      </c>
      <c r="C66" t="inlineStr">
        <is>
          <t>Barnstormer Barrel Proof Bourbon</t>
        </is>
      </c>
      <c r="D66" t="n">
        <v>6.5</v>
      </c>
      <c r="E66" s="13" t="n">
        <v>70</v>
      </c>
      <c r="F66" s="17">
        <f>($E$30*EXP((LN(250.0/$E$30)/(10.0-$D$30))*(D67-$D$30)))/E67</f>
        <v/>
      </c>
      <c r="G66">
        <f>IF(F67="","",IF(F67&gt;=1.75,"S",IF(F67&gt;=1,"A",IF(F67&gt;=0.85,"B",IF(F67&gt;=0.65,"C",IF(F67&gt;=0.5,"D","F"))))))</f>
        <v/>
      </c>
      <c r="H66" t="inlineStr">
        <is>
          <t>Bar</t>
        </is>
      </c>
      <c r="I66" t="inlineStr">
        <is>
          <t>"Learning to Fly" — Tom Petty</t>
        </is>
      </c>
      <c r="J66" s="13" t="n">
        <v>70</v>
      </c>
      <c r="K66">
        <f>EXP($N$12*(D67-D$30))*E$30/J67</f>
        <v/>
      </c>
      <c r="L66">
        <f>IF(K67="","",IF(K67&gt;=1.75,"S",IF(K67&gt;=1,"A",IF(K67&gt;=0.85,"B",IF(K67&gt;=0.65,"C",IF(K67&gt;=0.5,"D","F"))))))</f>
        <v/>
      </c>
    </row>
    <row r="67" ht="15" customHeight="1">
      <c r="B67">
        <f>B67+1</f>
        <v/>
      </c>
      <c r="C67" t="inlineStr">
        <is>
          <t>Milk &amp; Honey Single Cask Single Malt</t>
        </is>
      </c>
      <c r="D67" t="n">
        <v>8.199999999999999</v>
      </c>
      <c r="E67" s="13" t="n">
        <v>90</v>
      </c>
      <c r="F67" s="17">
        <f>($E$30*EXP((LN(250.0/$E$30)/(10.0-$D$30))*(D68-$D$30)))/E68</f>
        <v/>
      </c>
      <c r="G67">
        <f>IF(F68="","",IF(F68&gt;=1.75,"S",IF(F68&gt;=1,"A",IF(F68&gt;=0.85,"B",IF(F68&gt;=0.65,"C",IF(F68&gt;=0.5,"D","F"))))))</f>
        <v/>
      </c>
      <c r="H67" t="inlineStr">
        <is>
          <t>Bottle</t>
        </is>
      </c>
      <c r="I67" t="inlineStr">
        <is>
          <t>"Sinnerman" — Nina Simone</t>
        </is>
      </c>
      <c r="J67" s="13" t="n">
        <v>90</v>
      </c>
      <c r="K67">
        <f>EXP($N$12*(D68-D$30))*E$30/J68</f>
        <v/>
      </c>
      <c r="L67">
        <f>IF(K68="","",IF(K68&gt;=1.75,"S",IF(K68&gt;=1,"A",IF(K68&gt;=0.85,"B",IF(K68&gt;=0.65,"C",IF(K68&gt;=0.5,"D","F"))))))</f>
        <v/>
      </c>
    </row>
    <row r="68" ht="15" customHeight="1">
      <c r="B68">
        <f>B68+1</f>
        <v/>
      </c>
      <c r="C68" t="inlineStr">
        <is>
          <t>Kilchoman Sanaig Single Malt</t>
        </is>
      </c>
      <c r="D68" t="n">
        <v>7.5</v>
      </c>
      <c r="E68" s="13" t="n">
        <v>84</v>
      </c>
      <c r="F68" s="17">
        <f>($E$30*EXP((LN(250.0/$E$30)/(10.0-$D$30))*(D69-$D$30)))/E69</f>
        <v/>
      </c>
      <c r="G68">
        <f>IF(F69="","",IF(F69&gt;=1.75,"S",IF(F69&gt;=1,"A",IF(F69&gt;=0.85,"B",IF(F69&gt;=0.65,"C",IF(F69&gt;=0.5,"D","F"))))))</f>
        <v/>
      </c>
      <c r="H68" t="inlineStr">
        <is>
          <t>Bar</t>
        </is>
      </c>
      <c r="I68" t="inlineStr">
        <is>
          <t>"When the Levee Breaks" — Led Zeppelin</t>
        </is>
      </c>
      <c r="J68" s="13" t="n">
        <v>84</v>
      </c>
      <c r="K68">
        <f>EXP($N$12*(D69-D$30))*E$30/J69</f>
        <v/>
      </c>
      <c r="L68">
        <f>IF(K69="","",IF(K69&gt;=1.75,"S",IF(K69&gt;=1,"A",IF(K69&gt;=0.85,"B",IF(K69&gt;=0.65,"C",IF(K69&gt;=0.5,"D","F"))))))</f>
        <v/>
      </c>
    </row>
    <row r="69" ht="15" customHeight="1">
      <c r="B69">
        <f>B69+1</f>
        <v/>
      </c>
      <c r="C69" t="inlineStr">
        <is>
          <t>Sagamore Spirit 8 Year Old Rye Whiskey</t>
        </is>
      </c>
      <c r="D69" t="n">
        <v>7</v>
      </c>
      <c r="E69" s="13" t="n">
        <v>80</v>
      </c>
      <c r="F69" s="17">
        <f>($E$30*EXP((LN(250.0/$E$30)/(10.0-$D$30))*(D70-$D$30)))/E70</f>
        <v/>
      </c>
      <c r="G69">
        <f>IF(F70="","",IF(F70&gt;=1.75,"S",IF(F70&gt;=1,"A",IF(F70&gt;=0.85,"B",IF(F70&gt;=0.65,"C",IF(F70&gt;=0.5,"D","F"))))))</f>
        <v/>
      </c>
      <c r="H69" t="inlineStr">
        <is>
          <t>Bar</t>
        </is>
      </c>
      <c r="I69" t="inlineStr">
        <is>
          <t>"Take the Money and Run" — Steve Miller Band</t>
        </is>
      </c>
      <c r="J69" s="13" t="n">
        <v>80</v>
      </c>
      <c r="K69">
        <f>EXP($N$12*(D70-D$30))*E$30/J70</f>
        <v/>
      </c>
      <c r="L69">
        <f>IF(K70="","",IF(K70&gt;=1.75,"S",IF(K70&gt;=1,"A",IF(K70&gt;=0.85,"B",IF(K70&gt;=0.65,"C",IF(K70&gt;=0.5,"D","F"))))))</f>
        <v/>
      </c>
    </row>
    <row r="70" ht="15" customHeight="1">
      <c r="B70">
        <f>B70+1</f>
        <v/>
      </c>
      <c r="C70" t="inlineStr">
        <is>
          <t>The Lakes Whiskymaker’s Reserve No. 5</t>
        </is>
      </c>
      <c r="D70" t="n">
        <v>8</v>
      </c>
      <c r="E70" s="13" t="n">
        <v>99.98999999999999</v>
      </c>
      <c r="F70" s="17">
        <f>($E$30*EXP((LN(250.0/$E$30)/(10.0-$D$30))*(D71-$D$30)))/E71</f>
        <v/>
      </c>
      <c r="G70">
        <f>IF(F71="","",IF(F71&gt;=1.75,"S",IF(F71&gt;=1,"A",IF(F71&gt;=0.85,"B",IF(F71&gt;=0.65,"C",IF(F71&gt;=0.5,"D","F"))))))</f>
        <v/>
      </c>
      <c r="H70" t="inlineStr">
        <is>
          <t>Bottle</t>
        </is>
      </c>
      <c r="I70" t="inlineStr">
        <is>
          <t>"Nights in White Satin" — The Moody Blues</t>
        </is>
      </c>
      <c r="J70" s="13" t="n">
        <v>99.98999999999999</v>
      </c>
      <c r="K70">
        <f>EXP($N$12*(D71-D$30))*E$30/J71</f>
        <v/>
      </c>
      <c r="L70">
        <f>IF(K71="","",IF(K71&gt;=1.75,"S",IF(K71&gt;=1,"A",IF(K71&gt;=0.85,"B",IF(K71&gt;=0.65,"C",IF(K71&gt;=0.5,"D","F"))))))</f>
        <v/>
      </c>
    </row>
    <row r="71" ht="15" customHeight="1">
      <c r="B71">
        <f>B71+1</f>
        <v/>
      </c>
      <c r="C71" t="inlineStr">
        <is>
          <t>Penderyn Madeira Finish Welsh Whisky</t>
        </is>
      </c>
      <c r="D71" t="n">
        <v>4.5</v>
      </c>
      <c r="E71" s="13" t="n">
        <v>65</v>
      </c>
      <c r="F71" s="17">
        <f>($E$30*EXP((LN(250.0/$E$30)/(10.0-$D$30))*(D72-$D$30)))/E72</f>
        <v/>
      </c>
      <c r="G71">
        <f>IF(F72="","",IF(F72&gt;=1.75,"S",IF(F72&gt;=1,"A",IF(F72&gt;=0.85,"B",IF(F72&gt;=0.65,"C",IF(F72&gt;=0.5,"D","F"))))))</f>
        <v/>
      </c>
      <c r="H71" t="inlineStr">
        <is>
          <t>Bust</t>
        </is>
      </c>
      <c r="I71" t="inlineStr">
        <is>
          <t>"Green Green Grass of Home" — Tom Jones</t>
        </is>
      </c>
      <c r="J71" s="13" t="n">
        <v>65</v>
      </c>
      <c r="K71">
        <f>EXP($N$12*(D72-D$30))*E$30/J72</f>
        <v/>
      </c>
      <c r="L71">
        <f>IF(K72="","",IF(K72&gt;=1.75,"S",IF(K72&gt;=1,"A",IF(K72&gt;=0.85,"B",IF(K72&gt;=0.65,"C",IF(K72&gt;=0.5,"D","F"))))))</f>
        <v/>
      </c>
    </row>
    <row r="72" ht="15" customHeight="1">
      <c r="B72">
        <f>B72+1</f>
        <v/>
      </c>
      <c r="C72" t="inlineStr">
        <is>
          <t>Ichiro Malt &amp; Grain Japanese Whiskey</t>
        </is>
      </c>
      <c r="D72" t="n">
        <v>7.5</v>
      </c>
      <c r="E72" s="13" t="n">
        <v>100</v>
      </c>
      <c r="F72" s="17">
        <f>($E$30*EXP((LN(250.0/$E$30)/(10.0-$D$30))*(D73-$D$30)))/E73</f>
        <v/>
      </c>
      <c r="G72">
        <f>IF(F73="","",IF(F73&gt;=1.75,"S",IF(F73&gt;=1,"A",IF(F73&gt;=0.85,"B",IF(F73&gt;=0.65,"C",IF(F73&gt;=0.5,"D","F"))))))</f>
        <v/>
      </c>
      <c r="H72" t="inlineStr">
        <is>
          <t>Bar</t>
        </is>
      </c>
      <c r="I72" t="inlineStr">
        <is>
          <t>"The Joker" — Steve Miller Band</t>
        </is>
      </c>
      <c r="J72" s="13" t="n">
        <v>115</v>
      </c>
      <c r="K72">
        <f>EXP($N$12*(D73-D$30))*E$30/J73</f>
        <v/>
      </c>
      <c r="L72">
        <f>IF(K73="","",IF(K73&gt;=1.75,"S",IF(K73&gt;=1,"A",IF(K73&gt;=0.85,"B",IF(K73&gt;=0.65,"C",IF(K73&gt;=0.5,"D","F"))))))</f>
        <v/>
      </c>
    </row>
    <row r="73" ht="15" customHeight="1">
      <c r="B73">
        <f>B73+1</f>
        <v/>
      </c>
      <c r="C73" t="inlineStr">
        <is>
          <t>First West Small Batch Bourbon</t>
        </is>
      </c>
      <c r="D73" t="n">
        <v>5</v>
      </c>
      <c r="E73" s="13" t="n">
        <v>67</v>
      </c>
      <c r="F73" s="17">
        <f>($E$30*EXP((LN(250.0/$E$30)/(10.0-$D$30))*(D74-$D$30)))/E74</f>
        <v/>
      </c>
      <c r="G73">
        <f>IF(F74="","",IF(F74&gt;=1.75,"S",IF(F74&gt;=1,"A",IF(F74&gt;=0.85,"B",IF(F74&gt;=0.65,"C",IF(F74&gt;=0.5,"D","F"))))))</f>
        <v/>
      </c>
      <c r="H73" t="inlineStr">
        <is>
          <t>Bust</t>
        </is>
      </c>
      <c r="I73" t="inlineStr">
        <is>
          <t>"Nowhere Man" — The Beatles</t>
        </is>
      </c>
      <c r="J73" s="13" t="n">
        <v>67</v>
      </c>
      <c r="K73">
        <f>EXP($N$12*(D74-D$30))*E$30/J74</f>
        <v/>
      </c>
      <c r="L73">
        <f>IF(K74="","",IF(K74&gt;=1.75,"S",IF(K74&gt;=1,"A",IF(K74&gt;=0.85,"B",IF(K74&gt;=0.65,"C",IF(K74&gt;=0.5,"D","F"))))))</f>
        <v/>
      </c>
    </row>
    <row r="74" ht="15" customHeight="1">
      <c r="B74">
        <f>B74+1</f>
        <v/>
      </c>
      <c r="C74" t="inlineStr">
        <is>
          <t>Courage &amp; Conviction Double Cask Reserve</t>
        </is>
      </c>
      <c r="D74" t="n">
        <v>6.5</v>
      </c>
      <c r="E74" s="13" t="n">
        <v>90</v>
      </c>
      <c r="F74" s="17">
        <f>($E$30*EXP((LN(250.0/$E$30)/(10.0-$D$30))*(D75-$D$30)))/E75</f>
        <v/>
      </c>
      <c r="G74">
        <f>IF(F75="","",IF(F75&gt;=1.75,"S",IF(F75&gt;=1,"A",IF(F75&gt;=0.85,"B",IF(F75&gt;=0.65,"C",IF(F75&gt;=0.5,"D","F"))))))</f>
        <v/>
      </c>
      <c r="H74" t="inlineStr">
        <is>
          <t>Bar</t>
        </is>
      </c>
      <c r="I74" t="inlineStr">
        <is>
          <t>"Better Man" — Pearl Jam</t>
        </is>
      </c>
      <c r="J74" s="13" t="n">
        <v>90</v>
      </c>
      <c r="K74">
        <f>EXP($N$12*(D75-D$30))*E$30/J75</f>
        <v/>
      </c>
      <c r="L74">
        <f>IF(K75="","",IF(K75&gt;=1.75,"S",IF(K75&gt;=1,"A",IF(K75&gt;=0.85,"B",IF(K75&gt;=0.65,"C",IF(K75&gt;=0.5,"D","F"))))))</f>
        <v/>
      </c>
    </row>
    <row r="75" ht="15" customHeight="1">
      <c r="B75">
        <f>B75+1</f>
        <v/>
      </c>
      <c r="C75" t="inlineStr">
        <is>
          <t>Hibiki Japanese Harmony</t>
        </is>
      </c>
      <c r="D75" t="n">
        <v>6.7</v>
      </c>
      <c r="E75" s="13" t="n">
        <v>94.98999999999999</v>
      </c>
      <c r="F75" s="17">
        <f>($E$30*EXP((LN(250.0/$E$30)/(10.0-$D$30))*(D76-$D$30)))/E76</f>
        <v/>
      </c>
      <c r="G75">
        <f>IF(F76="","",IF(F76&gt;=1.75,"S",IF(F76&gt;=1,"A",IF(F76&gt;=0.85,"B",IF(F76&gt;=0.65,"C",IF(F76&gt;=0.5,"D","F"))))))</f>
        <v/>
      </c>
      <c r="H75" t="inlineStr">
        <is>
          <t>Bar</t>
        </is>
      </c>
      <c r="I75" t="inlineStr">
        <is>
          <t>"More Than This" — Roxy Music</t>
        </is>
      </c>
      <c r="J75" s="13" t="n">
        <v>95</v>
      </c>
      <c r="K75">
        <f>EXP($N$12*(D76-D$30))*E$30/J76</f>
        <v/>
      </c>
      <c r="L75">
        <f>IF(K76="","",IF(K76&gt;=1.75,"S",IF(K76&gt;=1,"A",IF(K76&gt;=0.85,"B",IF(K76&gt;=0.65,"C",IF(K76&gt;=0.5,"D","F"))))))</f>
        <v/>
      </c>
    </row>
    <row r="76" ht="15" customHeight="1">
      <c r="B76">
        <f>B76+1</f>
        <v/>
      </c>
      <c r="C76" t="inlineStr">
        <is>
          <t>Hai Seas San Oaks Chinese Whiskey</t>
        </is>
      </c>
      <c r="D76" t="n">
        <v>4.5</v>
      </c>
      <c r="E76" s="13" t="n">
        <v>74.98999999999999</v>
      </c>
      <c r="F76" s="17">
        <f>($E$30*EXP((LN(250.0/$E$30)/(10.0-$D$30))*(D77-$D$30)))/E77</f>
        <v/>
      </c>
      <c r="G76">
        <f>IF(F77="","",IF(F77&gt;=1.75,"S",IF(F77&gt;=1,"A",IF(F77&gt;=0.85,"B",IF(F77&gt;=0.65,"C",IF(F77&gt;=0.5,"D","F"))))))</f>
        <v/>
      </c>
      <c r="H76" t="inlineStr">
        <is>
          <t>Bust</t>
        </is>
      </c>
      <c r="I76" t="inlineStr">
        <is>
          <t>"Tubthumping" — Chumbawamba</t>
        </is>
      </c>
      <c r="J76" s="13" t="n">
        <v>74.98999999999999</v>
      </c>
      <c r="K76">
        <f>EXP($N$12*(D77-D$30))*E$30/J77</f>
        <v/>
      </c>
      <c r="L76">
        <f>IF(K77="","",IF(K77&gt;=1.75,"S",IF(K77&gt;=1,"A",IF(K77&gt;=0.85,"B",IF(K77&gt;=0.65,"C",IF(K77&gt;=0.5,"D","F"))))))</f>
        <v/>
      </c>
    </row>
    <row r="77" ht="15" customHeight="1">
      <c r="B77">
        <f>B77+1</f>
        <v/>
      </c>
      <c r="C77" t="inlineStr">
        <is>
          <t>Port Askaig Islay Single Malt Scotch</t>
        </is>
      </c>
      <c r="D77" t="n">
        <v>6.3</v>
      </c>
      <c r="E77" s="13" t="n">
        <v>100</v>
      </c>
      <c r="F77" s="17">
        <f>($E$30*EXP((LN(250.0/$E$30)/(10.0-$D$30))*(D78-$D$30)))/E78</f>
        <v/>
      </c>
      <c r="G77">
        <f>IF(F78="","",IF(F78&gt;=1.75,"S",IF(F78&gt;=1,"A",IF(F78&gt;=0.85,"B",IF(F78&gt;=0.65,"C",IF(F78&gt;=0.5,"D","F"))))))</f>
        <v/>
      </c>
      <c r="H77" t="inlineStr">
        <is>
          <t>Bar</t>
        </is>
      </c>
      <c r="I77" t="inlineStr">
        <is>
          <t>"Sea of Heartbreak" — Don Gibson</t>
        </is>
      </c>
      <c r="J77" s="13" t="n">
        <v>100</v>
      </c>
      <c r="K77">
        <f>EXP($N$12*(D78-D$30))*E$30/J78</f>
        <v/>
      </c>
      <c r="L77">
        <f>IF(K78="","",IF(K78&gt;=1.75,"S",IF(K78&gt;=1,"A",IF(K78&gt;=0.85,"B",IF(K78&gt;=0.65,"C",IF(K78&gt;=0.5,"D","F"))))))</f>
        <v/>
      </c>
    </row>
    <row r="78" ht="15" customHeight="1">
      <c r="B78">
        <f>B78+1</f>
        <v/>
      </c>
      <c r="C78" t="inlineStr">
        <is>
          <t>Thomas S. Moore Chardonnay Finish</t>
        </is>
      </c>
      <c r="D78" t="n">
        <v>5</v>
      </c>
      <c r="E78" s="13" t="n">
        <v>80</v>
      </c>
      <c r="F78" s="17">
        <f>($E$30*EXP((LN(250.0/$E$30)/(10.0-$D$30))*(D79-$D$30)))/E79</f>
        <v/>
      </c>
      <c r="G78">
        <f>IF(F79="","",IF(F79&gt;=1.75,"S",IF(F79&gt;=1,"A",IF(F79&gt;=0.85,"B",IF(F79&gt;=0.65,"C",IF(F79&gt;=0.5,"D","F"))))))</f>
        <v/>
      </c>
      <c r="H78" t="inlineStr">
        <is>
          <t>Bust</t>
        </is>
      </c>
      <c r="I78" t="inlineStr">
        <is>
          <t>"Nothing Compares 2 U" — Sinéad O'Connor</t>
        </is>
      </c>
      <c r="J78" s="13" t="n">
        <v>80</v>
      </c>
      <c r="K78">
        <f>EXP($N$12*(D79-D$30))*E$30/J79</f>
        <v/>
      </c>
      <c r="L78">
        <f>IF(K79="","",IF(K79&gt;=1.75,"S",IF(K79&gt;=1,"A",IF(K79&gt;=0.85,"B",IF(K79&gt;=0.65,"C",IF(K79&gt;=0.5,"D","F"))))))</f>
        <v/>
      </c>
    </row>
    <row r="79" ht="15" customHeight="1">
      <c r="B79">
        <f>B79+1</f>
        <v/>
      </c>
      <c r="C79" t="inlineStr">
        <is>
          <t>Westward Stout Cask</t>
        </is>
      </c>
      <c r="D79" t="n">
        <v>5</v>
      </c>
      <c r="E79" s="13" t="n">
        <v>90</v>
      </c>
      <c r="F79" s="17">
        <f>($E$30*EXP((LN(250.0/$E$30)/(10.0-$D$30))*(D80-$D$30)))/E80</f>
        <v/>
      </c>
      <c r="G79">
        <f>IF(F80="","",IF(F80&gt;=1.75,"S",IF(F80&gt;=1,"A",IF(F80&gt;=0.85,"B",IF(F80&gt;=0.65,"C",IF(F80&gt;=0.5,"D","F"))))))</f>
        <v/>
      </c>
      <c r="H79" t="inlineStr">
        <is>
          <t>Bust</t>
        </is>
      </c>
      <c r="I79" t="inlineStr">
        <is>
          <t>"Walk on the Wild Side" — Lou Reed</t>
        </is>
      </c>
      <c r="J79" s="13" t="n">
        <v>90</v>
      </c>
      <c r="K79">
        <f>EXP($N$12*(D80-D$30))*E$30/J80</f>
        <v/>
      </c>
      <c r="L79">
        <f>IF(K80="","",IF(K80&gt;=1.75,"S",IF(K80&gt;=1,"A",IF(K80&gt;=0.85,"B",IF(K80&gt;=0.65,"C",IF(K80&gt;=0.5,"D","F"))))))</f>
        <v/>
      </c>
    </row>
    <row r="80" ht="15" customHeight="1">
      <c r="B80">
        <f>B80+1</f>
        <v/>
      </c>
      <c r="C80" t="inlineStr">
        <is>
          <t>Jimmy Red Straight Bourbon</t>
        </is>
      </c>
      <c r="D80" t="n">
        <v>5</v>
      </c>
      <c r="E80" s="13" t="n">
        <v>86</v>
      </c>
      <c r="F80" s="17">
        <f>($E$30*EXP((LN(250.0/$E$30)/(10.0-$D$30))*(D81-$D$30)))/E81</f>
        <v/>
      </c>
      <c r="G80">
        <f>IF(F81="","",IF(F81&gt;=1.75,"S",IF(F81&gt;=1,"A",IF(F81&gt;=0.85,"B",IF(F81&gt;=0.65,"C",IF(F81&gt;=0.5,"D","F"))))))</f>
        <v/>
      </c>
      <c r="H80" t="inlineStr">
        <is>
          <t>Bar</t>
        </is>
      </c>
      <c r="I80" t="inlineStr">
        <is>
          <t>"Red House" — Jimi Hendrix</t>
        </is>
      </c>
      <c r="J80" s="13" t="n">
        <v>86</v>
      </c>
      <c r="K80">
        <f>EXP($N$12*(D81-D$30))*E$30/J81</f>
        <v/>
      </c>
      <c r="L80">
        <f>IF(K81="","",IF(K81&gt;=1.75,"S",IF(K81&gt;=1,"A",IF(K81&gt;=0.85,"B",IF(K81&gt;=0.65,"C",IF(K81&gt;=0.5,"D","F"))))))</f>
        <v/>
      </c>
    </row>
    <row r="81" ht="15" customHeight="1">
      <c r="B81">
        <f>B81+1</f>
        <v/>
      </c>
      <c r="C81" t="inlineStr">
        <is>
          <t>Sir Davis American Whiskey</t>
        </is>
      </c>
      <c r="D81" t="n">
        <v>5</v>
      </c>
      <c r="E81" s="13" t="n">
        <v>85</v>
      </c>
      <c r="F81" s="17">
        <f>($E$30*EXP((LN(250.0/$E$30)/(10.0-$D$30))*(D82-$D$30)))/E82</f>
        <v/>
      </c>
      <c r="G81">
        <f>IF(F82="","",IF(F82&gt;=1.75,"S",IF(F82&gt;=1,"A",IF(F82&gt;=0.85,"B",IF(F82&gt;=0.65,"C",IF(F82&gt;=0.5,"D","F"))))))</f>
        <v/>
      </c>
      <c r="H81" t="inlineStr">
        <is>
          <t>Bust</t>
        </is>
      </c>
      <c r="I81" t="inlineStr">
        <is>
          <t>"Irreplaceable" — Beyoncé</t>
        </is>
      </c>
      <c r="J81" s="13" t="n">
        <v>85</v>
      </c>
      <c r="K81">
        <f>EXP($N$12*(D82-D$30))*E$30/J82</f>
        <v/>
      </c>
      <c r="L81">
        <f>IF(K82="","",IF(K82&gt;=1.75,"S",IF(K82&gt;=1,"A",IF(K82&gt;=0.85,"B",IF(K82&gt;=0.65,"C",IF(K82&gt;=0.5,"D","F"))))))</f>
        <v/>
      </c>
    </row>
    <row r="82" ht="15" customHeight="1">
      <c r="B82">
        <f>B82+1</f>
        <v/>
      </c>
      <c r="C82" t="inlineStr">
        <is>
          <t>Westland Garryana 9th Edition</t>
        </is>
      </c>
      <c r="D82" t="n">
        <v>7.6</v>
      </c>
      <c r="E82" s="13" t="n">
        <v>139.99</v>
      </c>
      <c r="F82" s="17">
        <f>($E$30*EXP((LN(250.0/$E$30)/(10.0-$D$30))*(D83-$D$30)))/E83</f>
        <v/>
      </c>
      <c r="G82">
        <f>IF(F83="","",IF(F83&gt;=1.75,"S",IF(F83&gt;=1,"A",IF(F83&gt;=0.85,"B",IF(F83&gt;=0.65,"C",IF(F83&gt;=0.5,"D","F"))))))</f>
        <v/>
      </c>
      <c r="H82" t="inlineStr">
        <is>
          <t>Bar</t>
        </is>
      </c>
      <c r="I82" t="inlineStr">
        <is>
          <t>"Smoke Gets in Your Eyes" — The Platters</t>
        </is>
      </c>
      <c r="J82" s="13" t="n">
        <v>150</v>
      </c>
      <c r="K82">
        <f>EXP($N$12*(D83-D$30))*E$30/J83</f>
        <v/>
      </c>
      <c r="L82">
        <f>IF(K83="","",IF(K83&gt;=1.75,"S",IF(K83&gt;=1,"A",IF(K83&gt;=0.85,"B",IF(K83&gt;=0.65,"C",IF(K83&gt;=0.5,"D","F"))))))</f>
        <v/>
      </c>
    </row>
    <row r="83" ht="15" customHeight="1">
      <c r="B83">
        <f>B83+1</f>
        <v/>
      </c>
      <c r="C83" t="inlineStr">
        <is>
          <t>Orphan Barrel Rhetoric 22 Year Bourbon</t>
        </is>
      </c>
      <c r="D83" t="n">
        <v>7</v>
      </c>
      <c r="E83" s="13" t="n">
        <v>140</v>
      </c>
      <c r="F83" s="17">
        <f>($E$30*EXP((LN(250.0/$E$30)/(10.0-$D$30))*(D84-$D$30)))/E84</f>
        <v/>
      </c>
      <c r="G83">
        <f>IF(F84="","",IF(F84&gt;=1.75,"S",IF(F84&gt;=1,"A",IF(F84&gt;=0.85,"B",IF(F84&gt;=0.65,"C",IF(F84&gt;=0.5,"D","F"))))))</f>
        <v/>
      </c>
      <c r="H83" t="inlineStr">
        <is>
          <t>Bar</t>
        </is>
      </c>
      <c r="I83" t="inlineStr">
        <is>
          <t>"Time After Time" — Cyndi Lauper</t>
        </is>
      </c>
      <c r="J83" s="13" t="n">
        <v>140</v>
      </c>
      <c r="K83">
        <f>EXP($N$12*(D84-D$30))*E$30/J84</f>
        <v/>
      </c>
      <c r="L83">
        <f>IF(K84="","",IF(K84&gt;=1.75,"S",IF(K84&gt;=1,"A",IF(K84&gt;=0.85,"B",IF(K84&gt;=0.65,"C",IF(K84&gt;=0.5,"D","F"))))))</f>
        <v/>
      </c>
    </row>
    <row r="84" ht="15" customHeight="1">
      <c r="B84">
        <f>B84+1</f>
        <v/>
      </c>
      <c r="C84" t="inlineStr">
        <is>
          <t>Nikka Yoichi 10 Year Single Malt</t>
        </is>
      </c>
      <c r="D84" t="n">
        <v>7.3</v>
      </c>
      <c r="E84" s="13" t="n">
        <v>153.13</v>
      </c>
      <c r="F84" s="17">
        <f>($E$30*EXP((LN(250.0/$E$30)/(10.0-$D$30))*(D85-$D$30)))/E85</f>
        <v/>
      </c>
      <c r="G84">
        <f>IF(F85="","",IF(F85&gt;=1.75,"S",IF(F85&gt;=1,"A",IF(F85&gt;=0.85,"B",IF(F85&gt;=0.65,"C",IF(F85&gt;=0.5,"D","F"))))))</f>
        <v/>
      </c>
      <c r="H84" t="inlineStr">
        <is>
          <t>Bar</t>
        </is>
      </c>
      <c r="I84" t="inlineStr">
        <is>
          <t>"Bittersweet Symphony" — The Verve</t>
        </is>
      </c>
      <c r="J84" s="13" t="n">
        <v>175</v>
      </c>
      <c r="K84">
        <f>EXP($N$12*(D85-D$30))*E$30/J85</f>
        <v/>
      </c>
      <c r="L84">
        <f>IF(K85="","",IF(K85&gt;=1.75,"S",IF(K85&gt;=1,"A",IF(K85&gt;=0.85,"B",IF(K85&gt;=0.65,"C",IF(K85&gt;=0.5,"D","F"))))))</f>
        <v/>
      </c>
    </row>
    <row r="85" ht="15" customHeight="1">
      <c r="B85">
        <f>B85+1</f>
        <v/>
      </c>
      <c r="C85" t="inlineStr">
        <is>
          <t>Puni Vina Italian Single Malt</t>
        </is>
      </c>
      <c r="D85" t="n">
        <v>4.6</v>
      </c>
      <c r="E85" s="13" t="n">
        <v>99.98999999999999</v>
      </c>
      <c r="F85" s="17">
        <f>($E$30*EXP((LN(250.0/$E$30)/(10.0-$D$30))*(D86-$D$30)))/E86</f>
        <v/>
      </c>
      <c r="G85">
        <f>IF(F86="","",IF(F86&gt;=1.75,"S",IF(F86&gt;=1,"A",IF(F86&gt;=0.85,"B",IF(F86&gt;=0.65,"C",IF(F86&gt;=0.5,"D","F"))))))</f>
        <v/>
      </c>
      <c r="H85" t="inlineStr">
        <is>
          <t>Bust</t>
        </is>
      </c>
      <c r="I85" t="inlineStr">
        <is>
          <t>"That's Amore" — Dean Martin</t>
        </is>
      </c>
      <c r="J85" s="13" t="n">
        <v>99.98999999999999</v>
      </c>
      <c r="K85">
        <f>EXP($N$12*(D86-D$30))*E$30/J86</f>
        <v/>
      </c>
      <c r="L85">
        <f>IF(K86="","",IF(K86&gt;=1.75,"S",IF(K86&gt;=1,"A",IF(K86&gt;=0.85,"B",IF(K86&gt;=0.65,"C",IF(K86&gt;=0.5,"D","F"))))))</f>
        <v/>
      </c>
    </row>
    <row r="86" ht="15" customHeight="1">
      <c r="B86">
        <f>B86+1</f>
        <v/>
      </c>
      <c r="C86" t="inlineStr">
        <is>
          <t>Calumet Farm 16 Year Bourbon</t>
        </is>
      </c>
      <c r="D86" t="n">
        <v>7</v>
      </c>
      <c r="E86" s="13" t="n">
        <v>159.99</v>
      </c>
      <c r="F86" s="17">
        <f>($E$30*EXP((LN(250.0/$E$30)/(10.0-$D$30))*(D87-$D$30)))/E87</f>
        <v/>
      </c>
      <c r="G86">
        <f>IF(F87="","",IF(F87&gt;=1.75,"S",IF(F87&gt;=1,"A",IF(F87&gt;=0.85,"B",IF(F87&gt;=0.65,"C",IF(F87&gt;=0.5,"D","F"))))))</f>
        <v/>
      </c>
      <c r="H86" t="inlineStr">
        <is>
          <t>Bar</t>
        </is>
      </c>
      <c r="I86" t="inlineStr">
        <is>
          <t>"Kentucky Rain" — Elvis Presley</t>
        </is>
      </c>
      <c r="J86" s="13" t="n">
        <v>159.99</v>
      </c>
      <c r="K86">
        <f>EXP($N$12*(D87-D$30))*E$30/J87</f>
        <v/>
      </c>
      <c r="L86">
        <f>IF(K87="","",IF(K87&gt;=1.75,"S",IF(K87&gt;=1,"A",IF(K87&gt;=0.85,"B",IF(K87&gt;=0.65,"C",IF(K87&gt;=0.5,"D","F"))))))</f>
        <v/>
      </c>
    </row>
    <row r="87" ht="15" customHeight="1">
      <c r="B87">
        <f>B87+1</f>
        <v/>
      </c>
      <c r="C87" t="inlineStr">
        <is>
          <t>Deer, Bear, &amp; Moose Single Malt</t>
        </is>
      </c>
      <c r="D87" t="n">
        <v>7.5</v>
      </c>
      <c r="E87" s="13" t="n">
        <v>171.99</v>
      </c>
      <c r="F87" s="17">
        <f>($E$30*EXP((LN(250.0/$E$30)/(10.0-$D$30))*(D88-$D$30)))/E88</f>
        <v/>
      </c>
      <c r="G87">
        <f>IF(F88="","",IF(F88&gt;=1.75,"S",IF(F88&gt;=1,"A",IF(F88&gt;=0.85,"B",IF(F88&gt;=0.65,"C",IF(F88&gt;=0.5,"D","F"))))))</f>
        <v/>
      </c>
      <c r="H87" t="inlineStr">
        <is>
          <t>Bar</t>
        </is>
      </c>
      <c r="I87" t="inlineStr">
        <is>
          <t>"Guaranteed" — Eddie Vedder</t>
        </is>
      </c>
      <c r="J87" s="13" t="n">
        <v>171.99</v>
      </c>
      <c r="K87">
        <f>EXP($N$12*(D88-D$30))*E$30/J88</f>
        <v/>
      </c>
      <c r="L87">
        <f>IF(K88="","",IF(K88&gt;=1.75,"S",IF(K88&gt;=1,"A",IF(K88&gt;=0.85,"B",IF(K88&gt;=0.65,"C",IF(K88&gt;=0.5,"D","F"))))))</f>
        <v/>
      </c>
    </row>
    <row r="88" ht="15" customHeight="1">
      <c r="B88">
        <f>B88+1</f>
        <v/>
      </c>
      <c r="C88" t="inlineStr">
        <is>
          <t>Pokeno Origin New Zealand Single Malt</t>
        </is>
      </c>
      <c r="D88" t="n">
        <v>2</v>
      </c>
      <c r="E88" s="13" t="n">
        <v>49.99</v>
      </c>
      <c r="F88" s="17">
        <f>($E$30*EXP((LN(250.0/$E$30)/(10.0-$D$30))*(D89-$D$30)))/E89</f>
        <v/>
      </c>
      <c r="G88">
        <f>IF(F89="","",IF(F89&gt;=1.75,"S",IF(F89&gt;=1,"A",IF(F89&gt;=0.85,"B",IF(F89&gt;=0.65,"C",IF(F89&gt;=0.5,"D","F"))))))</f>
        <v/>
      </c>
      <c r="H88" t="inlineStr">
        <is>
          <t>Bust</t>
        </is>
      </c>
      <c r="I88" t="inlineStr">
        <is>
          <t>"Hurt" — Johnny Cash</t>
        </is>
      </c>
      <c r="J88" s="13" t="n">
        <v>49.99</v>
      </c>
      <c r="K88">
        <f>EXP($N$12*(D89-D$30))*E$30/J89</f>
        <v/>
      </c>
      <c r="L88">
        <f>IF(K89="","",IF(K89&gt;=1.75,"S",IF(K89&gt;=1,"A",IF(K89&gt;=0.85,"B",IF(K89&gt;=0.65,"C",IF(K89&gt;=0.5,"D","F"))))))</f>
        <v/>
      </c>
    </row>
    <row r="89" ht="15" customHeight="1">
      <c r="B89">
        <f>B89+1</f>
        <v/>
      </c>
      <c r="C89" t="inlineStr">
        <is>
          <t>Chivas Royal Salute 21 Year Old Scotch Whisky</t>
        </is>
      </c>
      <c r="D89" t="n">
        <v>7.5</v>
      </c>
      <c r="E89" s="13" t="n">
        <v>199.99</v>
      </c>
      <c r="F89" s="17">
        <f>($E$30*EXP((LN(250.0/$E$30)/(10.0-$D$30))*(D90-$D$30)))/E90</f>
        <v/>
      </c>
      <c r="G89">
        <f>IF(F90="","",IF(F90&gt;=1.75,"S",IF(F90&gt;=1,"A",IF(F90&gt;=0.85,"B",IF(F90&gt;=0.65,"C",IF(F90&gt;=0.5,"D","F"))))))</f>
        <v/>
      </c>
      <c r="H89" t="inlineStr">
        <is>
          <t>Bar</t>
        </is>
      </c>
      <c r="I89" t="inlineStr">
        <is>
          <t>"We Are the Champions" — Queen</t>
        </is>
      </c>
      <c r="J89" s="13" t="n">
        <v>199.99</v>
      </c>
      <c r="K89">
        <f>EXP($N$12*(D90-D$30))*E$30/J90</f>
        <v/>
      </c>
      <c r="L89">
        <f>IF(K90="","",IF(K90&gt;=1.75,"S",IF(K90&gt;=1,"A",IF(K90&gt;=0.85,"B",IF(K90&gt;=0.65,"C",IF(K90&gt;=0.5,"D","F"))))))</f>
        <v/>
      </c>
    </row>
    <row r="90" ht="15" customHeight="1">
      <c r="B90">
        <f>B90+1</f>
        <v/>
      </c>
      <c r="C90" t="inlineStr">
        <is>
          <t>Buffalo Trace Bourbon</t>
        </is>
      </c>
      <c r="D90" t="n">
        <v>6.3</v>
      </c>
      <c r="E90" s="13" t="n">
        <v>29.99</v>
      </c>
      <c r="F90" s="17">
        <f>($E$30*EXP((LN(250.0/$E$30)/(10.0-$D$30))*(D91-$D$30)))/E91</f>
        <v/>
      </c>
      <c r="G90">
        <f>IF(F91="","",IF(F91&gt;=1.75,"S",IF(F91&gt;=1,"A",IF(F91&gt;=0.85,"B",IF(F91&gt;=0.65,"C",IF(F91&gt;=0.5,"D","F"))))))</f>
        <v/>
      </c>
      <c r="H90" t="inlineStr">
        <is>
          <t>Bar</t>
        </is>
      </c>
      <c r="I90" t="inlineStr">
        <is>
          <t>"Blackbird" — The Beatles</t>
        </is>
      </c>
      <c r="J90" s="13" t="n">
        <v>27.99</v>
      </c>
      <c r="K90">
        <f>EXP($N$12*(D91-D$30))*E$30/J91</f>
        <v/>
      </c>
      <c r="L90">
        <f>IF(K91="","",IF(K91&gt;=1.75,"S",IF(K91&gt;=1,"A",IF(K91&gt;=0.85,"B",IF(K91&gt;=0.65,"C",IF(K91&gt;=0.5,"D","F"))))))</f>
        <v/>
      </c>
    </row>
    <row r="91" ht="15" customHeight="1">
      <c r="B91">
        <f>B91+1</f>
        <v/>
      </c>
      <c r="C91" t="inlineStr">
        <is>
          <t>Elmer T. Lee Single Barrel</t>
        </is>
      </c>
      <c r="D91" t="n">
        <v>8.5</v>
      </c>
      <c r="E91" s="13" t="n">
        <v>80</v>
      </c>
      <c r="F91" s="17">
        <f>($E$30*EXP((LN(250.0/$E$30)/(10.0-$D$30))*(D92-$D$30)))/E92</f>
        <v/>
      </c>
      <c r="G91">
        <f>IF(F92="","",IF(F92&gt;=1.75,"S",IF(F92&gt;=1,"A",IF(F92&gt;=0.85,"B",IF(F92&gt;=0.65,"C",IF(F92&gt;=0.5,"D","F"))))))</f>
        <v/>
      </c>
      <c r="H91" t="inlineStr">
        <is>
          <t>Bottle</t>
        </is>
      </c>
      <c r="I91" t="inlineStr">
        <is>
          <t>"My Way" — Frank Sinatra</t>
        </is>
      </c>
      <c r="J91" s="13" t="n">
        <v>89.98999999999999</v>
      </c>
      <c r="K91">
        <f>EXP($N$12*(D92-D$30))*E$30/J92</f>
        <v/>
      </c>
      <c r="L91">
        <f>IF(K92="","",IF(K92&gt;=1.75,"S",IF(K92&gt;=1,"A",IF(K92&gt;=0.85,"B",IF(K92&gt;=0.65,"C",IF(K92&gt;=0.5,"D","F"))))))</f>
        <v/>
      </c>
    </row>
    <row r="92" ht="15" customHeight="1">
      <c r="B92">
        <f>B93+1</f>
        <v/>
      </c>
      <c r="C92" t="inlineStr">
        <is>
          <t>Eagle Rare 10 Year</t>
        </is>
      </c>
      <c r="D92" t="n">
        <v>8</v>
      </c>
      <c r="E92" s="13" t="n">
        <v>50.1</v>
      </c>
      <c r="F92" s="17">
        <f>($E$30*EXP((LN(250.0/$E$30)/(10.0-$D$30))*(D94-$D$30)))/E94</f>
        <v/>
      </c>
      <c r="G92">
        <f>IF(F94="","",IF(F94&gt;=1.75,"S",IF(F94&gt;=1,"A",IF(F94&gt;=0.85,"B",IF(F94&gt;=0.65,"C",IF(F94&gt;=0.5,"D","F"))))))</f>
        <v/>
      </c>
      <c r="H92" t="inlineStr">
        <is>
          <t>Bottle</t>
        </is>
      </c>
      <c r="I92" t="inlineStr">
        <is>
          <t>"Take Five" — Dave Brubeck</t>
        </is>
      </c>
      <c r="J92" s="13" t="n">
        <v>50.1</v>
      </c>
      <c r="K92">
        <f>EXP($N$12*(D94-D$30))*E$30/J94</f>
        <v/>
      </c>
      <c r="L92">
        <f>IF(K94="","",IF(K94&gt;=1.75,"S",IF(K94&gt;=1,"A",IF(K94&gt;=0.85,"B",IF(K94&gt;=0.65,"C",IF(K94&gt;=0.5,"D","F"))))))</f>
        <v/>
      </c>
    </row>
    <row r="93" ht="15" customHeight="1">
      <c r="B93">
        <f>B94+1</f>
        <v/>
      </c>
      <c r="C93" t="inlineStr">
        <is>
          <t>Garrison Brothers Guadalupe Straight Texas Bourbon</t>
        </is>
      </c>
      <c r="D93" t="n">
        <v>7.6</v>
      </c>
      <c r="E93" s="13" t="n">
        <v>139.99</v>
      </c>
      <c r="F93" s="17">
        <f>($E$30*EXP((LN(250.0/$E$30)/(10.0-$D$30))*(D95-$D$30)))/E95</f>
        <v/>
      </c>
      <c r="G93">
        <f>IF(F95="","",IF(F95&gt;=1.75,"S",IF(F95&gt;=1,"A",IF(F95&gt;=0.85,"B",IF(F95&gt;=0.65,"C",IF(F95&gt;=0.5,"D","F"))))))</f>
        <v/>
      </c>
      <c r="H93" t="inlineStr">
        <is>
          <t>Bar</t>
        </is>
      </c>
      <c r="I93" s="6" t="inlineStr">
        <is>
          <t>"God's Gonna Cut You Down" — Johnny Cash</t>
        </is>
      </c>
      <c r="J93" s="13" t="n">
        <v>139.99</v>
      </c>
      <c r="K93">
        <f>EXP($N$12*(D95-D$30))*E$30/J95</f>
        <v/>
      </c>
      <c r="L93">
        <f>IF(K95="","",IF(K95&gt;=1.75,"S",IF(K95&gt;=1,"A",IF(K95&gt;=0.85,"B",IF(K95&gt;=0.65,"C",IF(K95&gt;=0.5,"D","F"))))))</f>
        <v/>
      </c>
    </row>
    <row r="94" ht="15" customHeight="1">
      <c r="B94" s="12">
        <f>B95+1</f>
        <v/>
      </c>
      <c r="C94" s="6" t="inlineStr">
        <is>
          <t>Stillmans' Sonder 10 Year Straight Bourbon Whiskey</t>
        </is>
      </c>
      <c r="D94" s="7" t="n">
        <v>7.6</v>
      </c>
      <c r="E94" s="13" t="n">
        <v>70</v>
      </c>
      <c r="F94" s="10">
        <f>($E$30*EXP((LN(250.0/$E$30)/(10.0-$D$30))*(D96-$D$30)))/E96</f>
        <v/>
      </c>
      <c r="G94" s="9">
        <f>IF(F96="","",IF(F96&gt;=1.75,"S",IF(F96&gt;=1,"A",IF(F96&gt;=0.85,"B",IF(F96&gt;=0.65,"C",IF(F96&gt;=0.5,"D","F"))))))</f>
        <v/>
      </c>
      <c r="H94" s="8" t="inlineStr">
        <is>
          <t>Bottle</t>
        </is>
      </c>
      <c r="I94" s="6" t="inlineStr">
        <is>
          <t>"Sex &amp; Candy" — Marcy Playground</t>
        </is>
      </c>
      <c r="J94" s="13" t="n">
        <v>70</v>
      </c>
      <c r="K94">
        <f>EXP($N$12*(D96-D$30))*E$30/J96</f>
        <v/>
      </c>
      <c r="L94">
        <f>IF(K96="","",IF(K96&gt;=1.75,"S",IF(K96&gt;=1,"A",IF(K96&gt;=0.85,"B",IF(K96&gt;=0.65,"C",IF(K96&gt;=0.5,"D","F"))))))</f>
        <v/>
      </c>
    </row>
    <row r="95" ht="14.4" customHeight="1">
      <c r="B95">
        <f>B96+1</f>
        <v/>
      </c>
      <c r="C95" t="inlineStr">
        <is>
          <t>Stillman's Sonder 10 Year American Single Malt Whiskey</t>
        </is>
      </c>
      <c r="D95" t="n">
        <v>7.8</v>
      </c>
      <c r="E95" s="13" t="n">
        <v>70</v>
      </c>
      <c r="F95" s="17">
        <f>($E$30*EXP((LN(250.0/$E$30)/(10.0-$D$30))*(D97-$D$30)))/E97</f>
        <v/>
      </c>
      <c r="G95">
        <f>IF(F97="","",IF(F97&gt;=1.75,"S",IF(F97&gt;=1,"A",IF(F97&gt;=0.85,"B",IF(F97&gt;=0.65,"C",IF(F97&gt;=0.5,"D","F"))))))</f>
        <v/>
      </c>
      <c r="H95" t="inlineStr">
        <is>
          <t>Bottle</t>
        </is>
      </c>
      <c r="I95" t="inlineStr">
        <is>
          <t>"Something" — The Beatles</t>
        </is>
      </c>
      <c r="J95" s="13" t="n">
        <v>70</v>
      </c>
      <c r="K95">
        <f>EXP($N$12*(D97-D$30))*E$30/J97</f>
        <v/>
      </c>
      <c r="L95">
        <f>IF(K97="","",IF(K97&gt;=1.75,"S",IF(K97&gt;=1,"A",IF(K97&gt;=0.85,"B",IF(K97&gt;=0.65,"C",IF(K97&gt;=0.5,"D","F"))))))</f>
        <v/>
      </c>
    </row>
    <row r="96">
      <c r="B96" s="14">
        <f>B97+1</f>
        <v/>
      </c>
      <c r="C96" s="6" t="inlineStr">
        <is>
          <t>Found North Single Barrel Cask Strength Season 4</t>
        </is>
      </c>
      <c r="D96" s="7" t="n">
        <v>7.7</v>
      </c>
      <c r="E96" s="15" t="n">
        <v>95</v>
      </c>
      <c r="F96" s="16">
        <f>($E$30*EXP((LN(250.0/$E$30)/(10.0-$D$30))*(D98-$D$30)))/E98</f>
        <v/>
      </c>
      <c r="G96" s="8">
        <f>IF(F98="","",IF(F98&gt;=1.75,"S",IF(F98&gt;=1,"A",IF(F98&gt;=0.85,"B",IF(F98&gt;=0.65,"C",IF(F98&gt;=0.5,"D","F"))))))</f>
        <v/>
      </c>
      <c r="H96" s="8" t="inlineStr">
        <is>
          <t>Bar</t>
        </is>
      </c>
      <c r="I96" s="6" t="inlineStr">
        <is>
          <t>"She Blinded Me with Science" — Thomas Dolby</t>
        </is>
      </c>
      <c r="J96" t="n">
        <v>95</v>
      </c>
    </row>
    <row r="97">
      <c r="B97" s="14">
        <f>B98+1</f>
        <v/>
      </c>
      <c r="C97" s="6" t="inlineStr">
        <is>
          <t>Rabbit Hole Dareringer</t>
        </is>
      </c>
      <c r="D97" s="7" t="n">
        <v>6.6</v>
      </c>
      <c r="E97" s="15" t="n">
        <v>79.98999999999999</v>
      </c>
      <c r="F97" s="16">
        <f>($E$30*EXP((LN(250.0/$E$30)/(10.0-$D$30))*(D99-$D$30)))/E99</f>
        <v/>
      </c>
      <c r="G97" s="8">
        <f>IF(F99="","",IF(F99&gt;=1.75,"S",IF(F99&gt;=1,"A",IF(F99&gt;=0.85,"B",IF(F99&gt;=0.65,"C",IF(F99&gt;=0.5,"D","F"))))))</f>
        <v/>
      </c>
      <c r="H97" s="8" t="inlineStr">
        <is>
          <t>Bar</t>
        </is>
      </c>
      <c r="I97" s="6" t="inlineStr">
        <is>
          <t>"Be My Baby" — The Ronettes</t>
        </is>
      </c>
      <c r="J97" t="n">
        <v>79.98999999999999</v>
      </c>
    </row>
    <row r="98">
      <c r="B98" s="14">
        <f>B99+1</f>
        <v/>
      </c>
      <c r="C98" s="6" t="inlineStr">
        <is>
          <t>Shenk's Homestead 2025 Release</t>
        </is>
      </c>
      <c r="D98" s="7" t="n">
        <v>9</v>
      </c>
      <c r="E98" s="15" t="n">
        <v>120</v>
      </c>
      <c r="F98" s="16">
        <f>($E$30*EXP((LN(250.0/$E$30)/(10.0-$D$30))*(D100-$D$30)))/E100</f>
        <v/>
      </c>
      <c r="G98" s="8">
        <f>IF(F100="","",IF(F100&gt;=1.75,"S",IF(F100&gt;=1,"A",IF(F100&gt;=0.85,"B",IF(F100&gt;=0.65,"C",IF(F100&gt;=0.5,"D","F"))))))</f>
        <v/>
      </c>
      <c r="H98" s="8" t="inlineStr">
        <is>
          <t>Bottle</t>
        </is>
      </c>
      <c r="I98" s="6" t="inlineStr">
        <is>
          <t>"Don't Stop Me Now" — Queen</t>
        </is>
      </c>
      <c r="J98" t="n">
        <v>120</v>
      </c>
    </row>
    <row r="99">
      <c r="B99" s="14">
        <f>B100+1</f>
        <v/>
      </c>
      <c r="C99" s="6" t="inlineStr">
        <is>
          <t>Legent Yamazaki Cask Finished Blended Whiskey</t>
        </is>
      </c>
      <c r="D99" s="7" t="n">
        <v>8.699999999999999</v>
      </c>
      <c r="E99" s="15" t="n">
        <v>199.99</v>
      </c>
      <c r="F99" s="16">
        <f>($E$30*EXP((LN(250.0/$E$30)/(10.0-$D$30))*(D101-$D$30)))/E101</f>
        <v/>
      </c>
      <c r="G99" s="8">
        <f>IF(F101="","",IF(F101&gt;=1.75,"S",IF(F101&gt;=1,"A",IF(F101&gt;=0.85,"B",IF(F101&gt;=0.65,"C",IF(F101&gt;=0.5,"D","F"))))))</f>
        <v/>
      </c>
      <c r="H99" s="8" t="inlineStr">
        <is>
          <t>Bottle</t>
        </is>
      </c>
      <c r="I99" s="6" t="inlineStr">
        <is>
          <t>"Walk This Way" — Aerosmith &amp; Run-DMC</t>
        </is>
      </c>
      <c r="J99" t="n">
        <v>199.99</v>
      </c>
    </row>
    <row r="100">
      <c r="B100" s="14">
        <f>B101+1</f>
        <v/>
      </c>
      <c r="C100" s="6" t="inlineStr">
        <is>
          <t>Kavalan Classic Single Malt Whiskey</t>
        </is>
      </c>
      <c r="D100" s="7" t="n">
        <v>5</v>
      </c>
      <c r="E100" s="15" t="n">
        <v>79.98999999999999</v>
      </c>
      <c r="F100" s="16">
        <f>($E$30*EXP((LN(250.0/$E$30)/(10.0-$D$30))*(D102-$D$30)))/E102</f>
        <v/>
      </c>
      <c r="G100" s="8">
        <f>IF(F102="","",IF(F102&gt;=1.75,"S",IF(F102&gt;=1,"A",IF(F102&gt;=0.85,"B",IF(F102&gt;=0.65,"C",IF(F102&gt;=0.5,"D","F"))))))</f>
        <v/>
      </c>
      <c r="H100" s="8" t="inlineStr">
        <is>
          <t>Bust</t>
        </is>
      </c>
      <c r="I100" s="6" t="inlineStr">
        <is>
          <t>"Hot in Herre" — Nelly</t>
        </is>
      </c>
      <c r="J100" t="n">
        <v>79.98999999999999</v>
      </c>
    </row>
    <row r="101">
      <c r="B101" s="14">
        <f>B102+1</f>
        <v/>
      </c>
      <c r="C101" s="6" t="inlineStr">
        <is>
          <t>The Cardrona Growing Wings Single Malt Whiskey</t>
        </is>
      </c>
      <c r="D101" s="7" t="n">
        <v>8</v>
      </c>
      <c r="E101" s="15" t="n">
        <v>150</v>
      </c>
      <c r="F101" s="16">
        <f>($E$30*EXP((LN(250.0/$E$30)/(10.0-$D$30))*(D103-$D$30)))/E103</f>
        <v/>
      </c>
      <c r="G101" s="8">
        <f>IF(F103="","",IF(F103&gt;=1.75,"S",IF(F103&gt;=1,"A",IF(F103&gt;=0.85,"B",IF(F103&gt;=0.65,"C",IF(F103&gt;=0.5,"D","F"))))))</f>
        <v/>
      </c>
      <c r="H101" s="8" t="inlineStr">
        <is>
          <t>Bar</t>
        </is>
      </c>
      <c r="I101" s="6" t="inlineStr">
        <is>
          <t>"Changes" — Yes</t>
        </is>
      </c>
      <c r="J101" t="n">
        <v>150</v>
      </c>
    </row>
    <row r="102">
      <c r="B102" s="14">
        <f>B103+1</f>
        <v/>
      </c>
      <c r="C102" s="6" t="inlineStr">
        <is>
          <t>Kaiyo Single Cask Mizunara Oak Finish Japanese Whisky</t>
        </is>
      </c>
      <c r="D102" s="7" t="n">
        <v>7.6</v>
      </c>
      <c r="E102" s="15" t="n">
        <v>89.98999999999999</v>
      </c>
      <c r="F102" s="16">
        <f>($E$30*EXP((LN(250.0/$E$30)/(10.0-$D$30))*(D104-$D$30)))/E104</f>
        <v/>
      </c>
      <c r="G102" s="8">
        <f>IF(F104="","",IF(F104&gt;=1.75,"S",IF(F104&gt;=1,"A",IF(F104&gt;=0.85,"B",IF(F104&gt;=0.65,"C",IF(F104&gt;=0.5,"D","F"))))))</f>
        <v/>
      </c>
      <c r="H102" s="8" t="inlineStr">
        <is>
          <t>Bottle</t>
        </is>
      </c>
      <c r="I102" s="6" t="inlineStr">
        <is>
          <t>"Lotus Flower" — Radiohead</t>
        </is>
      </c>
      <c r="J102" t="n">
        <v>89.98999999999999</v>
      </c>
    </row>
    <row r="103">
      <c r="B103" s="14">
        <f>B104+1</f>
        <v/>
      </c>
      <c r="C103" s="6" t="inlineStr">
        <is>
          <t>Brenne French Single Malt</t>
        </is>
      </c>
      <c r="D103" s="7" t="n">
        <v>8.300000000000001</v>
      </c>
      <c r="E103" s="15" t="n">
        <v>59.99</v>
      </c>
      <c r="F103" s="16">
        <f>($E$30*EXP((LN(250.0/$E$30)/(10.0-$D$30))*(D105-$D$30)))/E105</f>
        <v/>
      </c>
      <c r="G103" s="8">
        <f>IF(F105="","",IF(F105&gt;=1.75,"S",IF(F105&gt;=1,"A",IF(F105&gt;=0.85,"B",IF(F105&gt;=0.65,"C",IF(F105&gt;=0.5,"D","F"))))))</f>
        <v/>
      </c>
      <c r="H103" s="8" t="inlineStr">
        <is>
          <t>Bottle</t>
        </is>
      </c>
      <c r="I103" s="6" t="inlineStr">
        <is>
          <t>"Je t'aime... moi non plus" — Serge Gainsbourg &amp; Jane Birkin</t>
        </is>
      </c>
      <c r="J103" t="n">
        <v>59.99</v>
      </c>
    </row>
    <row r="104">
      <c r="B104" s="14">
        <f>B105+1</f>
        <v/>
      </c>
      <c r="C104" s="6" t="inlineStr">
        <is>
          <t>Hard Truth Kentucky Sweet Mash BW1 Bourbon</t>
        </is>
      </c>
      <c r="D104" s="7" t="n">
        <v>6.5</v>
      </c>
      <c r="E104" s="15" t="n">
        <v>75</v>
      </c>
      <c r="F104" s="16">
        <f>($E$30*EXP((LN(250.0/$E$30)/(10.0-$D$30))*(D106-$D$30)))/E106</f>
        <v/>
      </c>
      <c r="G104" s="8">
        <f>IF(F106="","",IF(F106&gt;=1.75,"S",IF(F106&gt;=1,"A",IF(F106&gt;=0.85,"B",IF(F106&gt;=0.65,"C",IF(F106&gt;=0.5,"D","F"))))))</f>
        <v/>
      </c>
      <c r="H104" s="8" t="inlineStr">
        <is>
          <t>Bar</t>
        </is>
      </c>
      <c r="I104" s="6" t="inlineStr">
        <is>
          <t>"Fast Car" — Tracy Chapman</t>
        </is>
      </c>
      <c r="J104" t="n">
        <v>75</v>
      </c>
    </row>
    <row r="105">
      <c r="B105" s="14">
        <f>B106+1</f>
        <v/>
      </c>
      <c r="C105" s="6" t="inlineStr">
        <is>
          <t>Walleye Run Malted Rye Whiskey</t>
        </is>
      </c>
      <c r="D105" s="7" t="n">
        <v>8</v>
      </c>
      <c r="E105" s="15" t="n">
        <v>48.83</v>
      </c>
      <c r="F105" s="16">
        <f>($E$30*EXP((LN(250.0/$E$30)/(10.0-$D$30))*(D107-$D$30)))/E107</f>
        <v/>
      </c>
      <c r="G105" s="8">
        <f>IF(F107="","",IF(F107&gt;=1.75,"S",IF(F107&gt;=1,"A",IF(F107&gt;=0.85,"B",IF(F107&gt;=0.65,"C",IF(F107&gt;=0.5,"D","F"))))))</f>
        <v/>
      </c>
      <c r="H105" s="8" t="inlineStr">
        <is>
          <t>Bottle</t>
        </is>
      </c>
      <c r="I105" s="6" t="inlineStr">
        <is>
          <t>"Pure Imagination" — Gene Wilder</t>
        </is>
      </c>
      <c r="J105" t="n">
        <v>48.83</v>
      </c>
    </row>
    <row r="106">
      <c r="B106" s="14">
        <f>B107+1</f>
        <v/>
      </c>
      <c r="C106" s="6" t="inlineStr">
        <is>
          <t>Colonel E.H. Taylor Small Batch</t>
        </is>
      </c>
      <c r="D106" s="7" t="n">
        <v>6</v>
      </c>
      <c r="E106" s="15" t="n">
        <v>59.99</v>
      </c>
      <c r="F106" s="16">
        <f>($E$30*EXP((LN(250.0/$E$30)/(10.0-$D$30))*(D108-$D$30)))/E108</f>
        <v/>
      </c>
      <c r="G106" s="8">
        <f>IF(F108="","",IF(F108&gt;=1.75,"S",IF(F108&gt;=1,"A",IF(F108&gt;=0.85,"B",IF(F108&gt;=0.65,"C",IF(F108&gt;=0.5,"D","F"))))))</f>
        <v/>
      </c>
      <c r="H106" s="8" t="inlineStr">
        <is>
          <t>Bar</t>
        </is>
      </c>
      <c r="I106" s="6" t="inlineStr">
        <is>
          <t>"Ripple" — Grateful Dead</t>
        </is>
      </c>
      <c r="J106" t="n">
        <v>90</v>
      </c>
    </row>
    <row r="107">
      <c r="B107" s="14">
        <f>B106+1</f>
        <v/>
      </c>
      <c r="C107" s="6" t="inlineStr">
        <is>
          <t>Wiscy City Solo Cask 10 Year</t>
        </is>
      </c>
      <c r="D107" s="7" t="n">
        <v>6.3</v>
      </c>
      <c r="E107" s="15" t="n">
        <v>75</v>
      </c>
      <c r="F107" s="16">
        <f>($E$30*EXP((LN(250.0/$E$30)/(10.0-$D$30))*(D107-$D$30)))/E107</f>
        <v/>
      </c>
      <c r="G107" s="8">
        <f>IF(F107="","",IF(F107&gt;=1.75,"S",IF(F107&gt;=1,"A",IF(F107&gt;=0.85,"B",IF(F107&gt;=0.65,"C",IF(F107&gt;=0.5,"D","F"))))))</f>
        <v/>
      </c>
      <c r="H107" s="8" t="inlineStr">
        <is>
          <t>Bar</t>
        </is>
      </c>
      <c r="I107" s="6" t="inlineStr">
        <is>
          <t>"This Land Is Your Land" — Woody Guthrie</t>
        </is>
      </c>
      <c r="J107" t="n">
        <v>75</v>
      </c>
    </row>
    <row r="108">
      <c r="B108" s="14">
        <f>B107+1</f>
        <v/>
      </c>
      <c r="C108" s="6" t="inlineStr">
        <is>
          <t>Lagavulin 16 Year Single Malt Scotch</t>
        </is>
      </c>
      <c r="D108" s="7" t="n">
        <v>7.8</v>
      </c>
      <c r="E108" s="15" t="n">
        <v>75</v>
      </c>
      <c r="F108" s="16">
        <f>($E$30*EXP((LN(250.0/$E$30)/(10.0-$D$30))*(D108-$D$30)))/E108</f>
        <v/>
      </c>
      <c r="G108" s="8">
        <f>IF(F108="","",IF(F108&gt;=1.75,"S",IF(F108&gt;=1,"A",IF(F108&gt;=0.85,"B",IF(F108&gt;=0.7,"C",IF(F108&gt;=0.5,"D","F"))))))</f>
        <v/>
      </c>
      <c r="H108" s="8" t="inlineStr">
        <is>
          <t>Bar</t>
        </is>
      </c>
      <c r="I108" s="6" t="inlineStr">
        <is>
          <t>"Atmosphere" — Joy Division</t>
        </is>
      </c>
    </row>
    <row r="109">
      <c r="B109" s="14">
        <f>B108+1</f>
        <v/>
      </c>
      <c r="C109" s="6" t="inlineStr">
        <is>
          <t>J. Henry Patton Road Reserve</t>
        </is>
      </c>
      <c r="D109" s="7" t="n">
        <v>6</v>
      </c>
      <c r="E109" s="15" t="n">
        <v>60</v>
      </c>
      <c r="F109" s="16">
        <f>($E$30*EXP((LN(250.0/$E$30)/(10.0-$D$30))*(D109-$D$30)))/E109</f>
        <v/>
      </c>
      <c r="G109" s="8">
        <f>IF(F109="","",IF(F109&gt;=1.75,"S",IF(F109&gt;=1,"A",IF(F109&gt;=0.85,"B",IF(F109&gt;=0.7,"C",IF(F109&gt;=0.5,"D","F"))))))</f>
        <v/>
      </c>
      <c r="H109" s="8" t="inlineStr">
        <is>
          <t>Bar</t>
        </is>
      </c>
      <c r="I109" s="6" t="inlineStr">
        <is>
          <t>"Home" — Edward Sharpe and the Magnetic Zeros</t>
        </is>
      </c>
    </row>
    <row r="110">
      <c r="B110" s="14">
        <f>B109+1</f>
        <v/>
      </c>
      <c r="C110" s="6" t="inlineStr">
        <is>
          <t>Elijah Craig Toasted Barrel</t>
        </is>
      </c>
      <c r="D110" s="7" t="n">
        <v>6.3</v>
      </c>
      <c r="E110" s="15" t="n">
        <v>31.31</v>
      </c>
      <c r="F110" s="16">
        <f>($E$30*EXP((LN(250.0/$E$30)/(10.0-$D$30))*(D110-$D$30)))/E110</f>
        <v/>
      </c>
      <c r="G110" s="8">
        <f>IF(F110="","",IF(F110&gt;=1.75,"S",IF(F110&gt;=1,"A",IF(F110&gt;=0.85,"B",IF(F110&gt;=0.7,"C",IF(F110&gt;=0.5,"D","F"))))))</f>
        <v/>
      </c>
      <c r="H110" s="8" t="inlineStr">
        <is>
          <t>Bottle</t>
        </is>
      </c>
      <c r="I110" s="6" t="inlineStr">
        <is>
          <t>"Spiritchaser" — Dead Can Dance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2026-04-25T22:53:48Z</dcterms:created>
  <dcterms:modified xmlns:dcterms="http://purl.org/dc/terms/" xmlns:xsi="http://www.w3.org/2001/XMLSchema-instance" xsi:type="dcterms:W3CDTF">2026-06-21T19:35:10Z</dcterms:modified>
  <cp:lastModifiedBy>Jim Coursey</cp:lastModifiedBy>
  <cp:revision>0</cp:revision>
</cp:coreProperties>
</file>